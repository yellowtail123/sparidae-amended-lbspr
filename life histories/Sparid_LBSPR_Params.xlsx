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GTW Sparidae Sex Systems" sheetId="1" state="visible" r:id="rId3"/>
    <sheet name="Sex Ratio &amp; Reproductive Data" sheetId="2" state="visible" r:id="rId4"/>
    <sheet name="LBSPR Input Parameters" sheetId="3" state="visible" r:id="rId5"/>
    <sheet name="LBSPR Parameters (full set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<sst xmlns="http://schemas.openxmlformats.org/spreadsheetml/2006/main" count="714" uniqueCount="431">
  <si>
    <t xml:space="preserve">BGTW Sparidae — Reproductive Mode, Length &amp; Age at Sex Change (19 species)</t>
  </si>
  <si>
    <t xml:space="preserve">Mode framework: Pla et al. 2020 (doi:10.1038/s41598-020-60376-w); Buxton &amp; Garratt 1990 (doi:10.1007/BF00751031). Sexual pattern, length &amp; age at sex change taken from the geographically NEAREST study to Gibraltar (Strait of Gibraltar / Gulf of Cádiz / Alboran Sea / Atlantic Iberia / Canary Is.) — see Source column. TL = total length. Cells in red = mode corrected vs. the original sheet.</t>
  </si>
  <si>
    <t xml:space="preserve">#</t>
  </si>
  <si>
    <t xml:space="preserve">Species (scientific)</t>
  </si>
  <si>
    <t xml:space="preserve">Common name</t>
  </si>
  <si>
    <t xml:space="preserve">Reproductive mode</t>
  </si>
  <si>
    <t xml:space="preserve">Length at sex change</t>
  </si>
  <si>
    <t xml:space="preserve">Age at sex change</t>
  </si>
  <si>
    <t xml:space="preserve">Source (nearest to Gibraltar)</t>
  </si>
  <si>
    <t xml:space="preserve">Notes</t>
  </si>
  <si>
    <t xml:space="preserve">Sparus aurata</t>
  </si>
  <si>
    <t xml:space="preserve">Gilthead seabream</t>
  </si>
  <si>
    <t xml:space="preserve">Protandrous</t>
  </si>
  <si>
    <t xml:space="preserve">~20–40 cm TL (variable, socially controlled)</t>
  </si>
  <si>
    <t xml:space="preserve">~2 yr</t>
  </si>
  <si>
    <t xml:space="preserve">Mediterranean (Zohar et al. 1978; Loukovitis et al. 2011)</t>
  </si>
  <si>
    <t xml:space="preserve">Sex reversal at age 2 is robust across studies; size varies with social conditions. S. Med. (Gulf of Gabes) reports change at ~18.8 cm (Hadj-Taïeb et al. 2013).</t>
  </si>
  <si>
    <t xml:space="preserve">Diplodus sargus</t>
  </si>
  <si>
    <t xml:space="preserve">White seabream</t>
  </si>
  <si>
    <t xml:space="preserve">~17–25 cm TL (around maturity; not precisely resolved)</t>
  </si>
  <si>
    <t xml:space="preserve">~2–4 yr</t>
  </si>
  <si>
    <t xml:space="preserve">W Mediterranean, Algeria/Tunisia (Mouine et al. 2007)</t>
  </si>
  <si>
    <t xml:space="preserve">Digynic protandry in Med. studies; some authors classify it as a rudimentary hermaphrodite with only partial protandry (Micale &amp; Perdichizzi 1994; Morato et al. 2003).</t>
  </si>
  <si>
    <t xml:space="preserve">Sarpa salpa</t>
  </si>
  <si>
    <t xml:space="preserve">Salema</t>
  </si>
  <si>
    <t xml:space="preserve">~28–41 cm TL (Atlantic Iberia); ~24–31 cm (Med)</t>
  </si>
  <si>
    <t xml:space="preserve">~4–7 yr (males mature ~24 cm / 2 yr)</t>
  </si>
  <si>
    <t xml:space="preserve">Portuguese continental coast (JMBA UK 2016); central Italy (Sci. Mar. 2006)</t>
  </si>
  <si>
    <t xml:space="preserve">Wide size/age range of transition; FishBase summarises change at ~25 cm / 3.75 yr.</t>
  </si>
  <si>
    <t xml:space="preserve">Pagellus acarne</t>
  </si>
  <si>
    <t xml:space="preserve">Axillary seabream</t>
  </si>
  <si>
    <t xml:space="preserve">~28 cm TL (males &lt;28 cm; females 28–34 cm)</t>
  </si>
  <si>
    <t xml:space="preserve">several yr (not directly reported; slow local growth)</t>
  </si>
  <si>
    <t xml:space="preserve">Gulf of Cádiz &amp; Alboran Sea, S Spain (Velasco et al. 2011)</t>
  </si>
  <si>
    <t xml:space="preserve">MODE CORRECTED (was Protogynous): protandrous. Confirmed by the source nearest Gibraltar — the two seas flanking the Strait. Southern populations change much smaller (~15–16 cm).</t>
  </si>
  <si>
    <t xml:space="preserve">Pagellus bogaraveo</t>
  </si>
  <si>
    <t xml:space="preserve">Blackspot seabream</t>
  </si>
  <si>
    <t xml:space="preserve">~30–35 cm TL</t>
  </si>
  <si>
    <t xml:space="preserve">~4–6 yr</t>
  </si>
  <si>
    <t xml:space="preserve">Strait of Gibraltar (Nadal et al. 2022; Benchoucha et al. 2019)</t>
  </si>
  <si>
    <t xml:space="preserve">MODE CORRECTED (was Protogynous): protandrous (male→female). Local Strait-of-Gibraltar studies are unambiguous. Large FEMALES (terminal sex) are the ones removed by size-selective fishing.</t>
  </si>
  <si>
    <t xml:space="preserve">Lithognathus mormyrus</t>
  </si>
  <si>
    <t xml:space="preserve">Sand steenbras</t>
  </si>
  <si>
    <t xml:space="preserve">~21–28 cm TL (matures as male ~14 cm)</t>
  </si>
  <si>
    <t xml:space="preserve">~4–7 yr (male maturity ~age 2)</t>
  </si>
  <si>
    <t xml:space="preserve">Mediterranean (Heemstra &amp; Heemstra 2004; cf. Pajuelo et al. 2002, Canary Is.)</t>
  </si>
  <si>
    <t xml:space="preserve">MODE CORRECTED (was Rudimentary): functional protandry is well documented (incl. the Pla et al. 2020 review cited above). Some histological studies report a rudimentary/digynic pattern with non-changing individuals.</t>
  </si>
  <si>
    <t xml:space="preserve">Pagellus erythrinus</t>
  </si>
  <si>
    <t xml:space="preserve">Common pandora</t>
  </si>
  <si>
    <t xml:space="preserve">Protogynous</t>
  </si>
  <si>
    <t xml:space="preserve">~17–23 cm TL (females L50 17.4; males predominate ~23 cm)</t>
  </si>
  <si>
    <t xml:space="preserve">~2–3 yr</t>
  </si>
  <si>
    <t xml:space="preserve">Canary Is. (Pajuelo &amp; Lorenzo 1998); S Portugal</t>
  </si>
  <si>
    <t xml:space="preserve">Monandric protogyny; FishBase gives change in the 3rd year (~17 cm).</t>
  </si>
  <si>
    <t xml:space="preserve">Pagrus pagrus</t>
  </si>
  <si>
    <t xml:space="preserve">Red porgy</t>
  </si>
  <si>
    <t xml:space="preserve">~25–35 cm TL (females L50 22.6; males L50 26.7)</t>
  </si>
  <si>
    <t xml:space="preserve">~3–6 yr</t>
  </si>
  <si>
    <t xml:space="preserve">Canary Is. (Pajuelo &amp; Lorenzo 1996)</t>
  </si>
  <si>
    <t xml:space="preserve">Sex change spans a wide size/age range; some females remain female beyond 6 yr.</t>
  </si>
  <si>
    <t xml:space="preserve">Pagrus auriga</t>
  </si>
  <si>
    <t xml:space="preserve">Redbanded seabream</t>
  </si>
  <si>
    <t xml:space="preserve">~39–53 cm TL (females L50 38.7; males L50 53.3)</t>
  </si>
  <si>
    <t xml:space="preserve">old fish (slow-growing; to 18 yr)</t>
  </si>
  <si>
    <t xml:space="preserve">Canary Is. (Pajuelo et al. 2006)</t>
  </si>
  <si>
    <t xml:space="preserve">Large-bodied, long-lived; strongly female-biased sex ratio (1:8). Min. legal size 35 cm in the Canaries.</t>
  </si>
  <si>
    <t xml:space="preserve">Spondyliosoma cantharus</t>
  </si>
  <si>
    <t xml:space="preserve">Black seabream</t>
  </si>
  <si>
    <t xml:space="preserve">~25.6 cm TL (females &lt;25 cm; no females &gt;35 cm)</t>
  </si>
  <si>
    <t xml:space="preserve">~3–4 yr (females mature ~2 yr)</t>
  </si>
  <si>
    <t xml:space="preserve">W Portuguese coast (Neves et al. 2018); Canary Is. (Pajuelo &amp; Lorenzo 1999)</t>
  </si>
  <si>
    <t xml:space="preserve">Brief transition; nest-guarding terminal males.</t>
  </si>
  <si>
    <t xml:space="preserve">11 ★</t>
  </si>
  <si>
    <t xml:space="preserve">Dentex gibbosus</t>
  </si>
  <si>
    <t xml:space="preserve">Pink dentex</t>
  </si>
  <si>
    <t xml:space="preserve">~35–39 cm TL (females L50 34.7; males L50 38.6)</t>
  </si>
  <si>
    <t xml:space="preserve">old fish (to 16 yr)</t>
  </si>
  <si>
    <t xml:space="preserve">Canary Is. (Pajuelo &amp; Lorenzo 1995)</t>
  </si>
  <si>
    <t xml:space="preserve">NEW species. Mode debated: protogynous off the Canaries (nearest source), but rudimentary in the Adriatic (Grubišić et al. 2007) and protandry reported off NW Africa (Bonnet 1969).</t>
  </si>
  <si>
    <t xml:space="preserve">12 ★</t>
  </si>
  <si>
    <t xml:space="preserve">Pagrus caeruleostictus</t>
  </si>
  <si>
    <t xml:space="preserve">Bluespotted seabream</t>
  </si>
  <si>
    <t xml:space="preserve">~&gt;29 cm TL in the minority that reverse (females L50 27; males L50 29)</t>
  </si>
  <si>
    <t xml:space="preserve">not established (larger/older fish)</t>
  </si>
  <si>
    <t xml:space="preserve">SW Med / NW Africa (Chakroun-Marzouk &amp; Kartas 1987; Ismail et al. 2018)</t>
  </si>
  <si>
    <t xml:space="preserve">NEW species. Mostly a rudimentary hermaphrodite (~83% of young females), with only limited protogynous sex reversal at larger sizes.</t>
  </si>
  <si>
    <t xml:space="preserve">Diplodus vulgaris</t>
  </si>
  <si>
    <t xml:space="preserve">Two-banded seabream</t>
  </si>
  <si>
    <t xml:space="preserve">Rudimentary hermaphrodite</t>
  </si>
  <si>
    <t xml:space="preserve">N/A</t>
  </si>
  <si>
    <t xml:space="preserve">SW Portugal (Gonçalves &amp; Erzini 2000); Canary Is. (Pajuelo et al. 2006)</t>
  </si>
  <si>
    <t xml:space="preserve">Bisexual juvenile gonad; functionally gonochoristic adult. Primary males &amp; females coexist; only a small proportion of protandry — no reliable functional sex change.</t>
  </si>
  <si>
    <t xml:space="preserve">Diplodus annularis</t>
  </si>
  <si>
    <t xml:space="preserve">Annular seabream</t>
  </si>
  <si>
    <t xml:space="preserve">Balearic Is., NW Med (Alonso-Fernández et al. 2011)</t>
  </si>
  <si>
    <t xml:space="preserve">Histologically confirmed non-functional (rudimentary) hermaphrodite; no functional sex change.</t>
  </si>
  <si>
    <t xml:space="preserve">Diplodus puntazzo</t>
  </si>
  <si>
    <t xml:space="preserve">Sharpsnout seabream</t>
  </si>
  <si>
    <t xml:space="preserve">Mediterranean (Manousaki et al. 2014)</t>
  </si>
  <si>
    <t xml:space="preserve">Intersex (bisexual) juveniles, single-sex adults; no functional sex change.</t>
  </si>
  <si>
    <t xml:space="preserve">Diplodus cervinus</t>
  </si>
  <si>
    <t xml:space="preserve">Zebra seabream</t>
  </si>
  <si>
    <t xml:space="preserve">Canary Is. (Pajuelo et al. 2003); cf. histology in Diplodus (Coetzee 2014)</t>
  </si>
  <si>
    <t xml:space="preserve">Non-functional bisexual ovotestis before maturation; functionally gonochoristic.</t>
  </si>
  <si>
    <t xml:space="preserve">Boops boops</t>
  </si>
  <si>
    <t xml:space="preserve">Bogue</t>
  </si>
  <si>
    <t xml:space="preserve">Gonochoristic</t>
  </si>
  <si>
    <t xml:space="preserve">W Mediterranean (Algerian coast); FishBase</t>
  </si>
  <si>
    <t xml:space="preserve">Separate sexes; occasional hermaphroditism / low-level sex reversal (~6%, ~19 cm) reported in some populations.</t>
  </si>
  <si>
    <t xml:space="preserve">Oblada melanura</t>
  </si>
  <si>
    <t xml:space="preserve">Saddled seabream</t>
  </si>
  <si>
    <t xml:space="preserve">Mediterranean (Pallaoro et al. 1998); N Aegean (Daban et al. 2020)</t>
  </si>
  <si>
    <t xml:space="preserve">Predominantly gonochoristic (hermaphroditism rarely observed); a few studies report low-level sex reversal / protogyny.</t>
  </si>
  <si>
    <t xml:space="preserve">19 ★</t>
  </si>
  <si>
    <t xml:space="preserve">Dentex dentex</t>
  </si>
  <si>
    <t xml:space="preserve">Common dentex</t>
  </si>
  <si>
    <t xml:space="preserve">Mediterranean (Pavlidis et al. 2000; Tsakogiannis et al. 2019)</t>
  </si>
  <si>
    <t xml:space="preserve">NEW species. Gonochoristic in modern histological / transcriptomic work; older reports of protandry (Glamuzina et al. 1989) are not generally supported.</t>
  </si>
  <si>
    <t xml:space="preserve">Legend:</t>
  </si>
  <si>
    <t xml:space="preserve">Protandrous (male→female)</t>
  </si>
  <si>
    <t xml:space="preserve">Protogynous (female→male)</t>
  </si>
  <si>
    <t xml:space="preserve">Rudimentary hermaphrodite (no functional sex change)</t>
  </si>
  <si>
    <t xml:space="preserve">Gonochoristic (separate sexes)</t>
  </si>
  <si>
    <t xml:space="preserve">★ = species added to reach the 19-species set</t>
  </si>
  <si>
    <t xml:space="preserve">Counts by mode:</t>
  </si>
  <si>
    <t xml:space="preserve">TOTAL</t>
  </si>
  <si>
    <t xml:space="preserve">Corrections applied (vs. original sheet):</t>
  </si>
  <si>
    <t xml:space="preserve">Pagellus acarne: Protogynous → Protandrous (Velasco et al. 2011, Gulf of Cádiz &amp; Alboran Sea — nearest source).</t>
  </si>
  <si>
    <t xml:space="preserve">Pagellus bogaraveo: Protogynous → Protandrous (Nadal et al. 2022; Benchoucha et al. 2019, Strait of Gibraltar).</t>
  </si>
  <si>
    <t xml:space="preserve">Lithognathus mormyrus: Rudimentary → Protandrous (documented sex-change size/age; Pla et al. 2020; FishBase).</t>
  </si>
  <si>
    <t xml:space="preserve">BGTW Sparidae — Observed Sex Ratio &amp; Reproductive Parameters (19 species)</t>
  </si>
  <si>
    <t xml:space="preserve">Observed (realised) sex ratios and reproductive parameters compiled from peer-reviewed literature via Consensus search, prioritising the study geographically nearest Gibraltar (Strait of Gibraltar / Gulf of Cádiz / Alboran / Atlantic Iberia / Canary Is.) to match Sheet 1. Sex ratio = F : M (females per male); values &lt;1 are male-biased. “—” = not reported in the retrieved study. TL = total length; L50 = length at 50%. These are observed counts, NOT operational (spawning) sex ratios, and vary with region and season. No retrieved study quantifies a male spawning potential: sex ratio, size-at-sex-change, maturity and fecundity are the available inputs to the ψ_f schedule; the male fertilisation contribution (the mating function) remains unmeasured (cf. Easter et al. 2016; Blaylock et al. 2016).</t>
  </si>
  <si>
    <t xml:space="preserve">Sex ratio (F : M)</t>
  </si>
  <si>
    <t xml:space="preserve">Size at sex change (cm TL)</t>
  </si>
  <si>
    <t xml:space="preserve">L50 maturity (cm TL)</t>
  </si>
  <si>
    <t xml:space="preserve">Fecundity</t>
  </si>
  <si>
    <t xml:space="preserve">Spawning season</t>
  </si>
  <si>
    <t xml:space="preserve">Source (nearest region)</t>
  </si>
  <si>
    <t xml:space="preserve">Notes / data status</t>
  </si>
  <si>
    <t xml:space="preserve">1</t>
  </si>
  <si>
    <t xml:space="preserve">≈1:4–5 ♀ (captive; ♂ ~20%)</t>
  </si>
  <si>
    <t xml:space="preserve">~20–40 cm TL (age ~2; Sheet 1)</t>
  </si>
  <si>
    <t xml:space="preserve">—</t>
  </si>
  <si>
    <t xml:space="preserve">1.48–3.10 ×10⁶ eggs kg⁻¹ ♀ (captive)</t>
  </si>
  <si>
    <t xml:space="preserve">Papadaki et al. 2022 — captive broodstock (Greece)</t>
  </si>
  <si>
    <t xml:space="preserve">Only quantified ratio is from CAPTIVE broodstock, not wild; ♂% stabilises ~20%. Wild size-at-change in Sheet 1.</t>
  </si>
  <si>
    <t xml:space="preserve">2</t>
  </si>
  <si>
    <t xml:space="preserve">1.4 (♀-biased; E Algeria)</t>
  </si>
  <si>
    <t xml:space="preserve">23.5 cm TL median (12–32 cm overlap)</t>
  </si>
  <si>
    <t xml:space="preserve">♂ 20.2 / ♀ 20.0 (≈20.5 both)</t>
  </si>
  <si>
    <t xml:space="preserve">global fecundity reported (Boufekane)</t>
  </si>
  <si>
    <t xml:space="preserve">Jan–May (peak Mar–Apr)</t>
  </si>
  <si>
    <t xml:space="preserve">Benchalel et al. 2013 — E Algeria; Boufekane et al. 2021 — C Algeria; Mouine et al. 2007 — Tunis</t>
  </si>
  <si>
    <t xml:space="preserve">Digynic protandry; ♂ small, ♀ large. Ratio ♀-biased; M≠1 also in Tunis.</t>
  </si>
  <si>
    <t xml:space="preserve">3</t>
  </si>
  <si>
    <t xml:space="preserve">~0.4 (♂-biased; Canary) to ~1:1 (Algeria)</t>
  </si>
  <si>
    <t xml:space="preserve">28.6–40.9 cm TL (Portugal); 24–31 cm (Italy)</t>
  </si>
  <si>
    <t xml:space="preserve">♂ 24.5 (Portugal); ♂ 21.3 / ♀ 33.2 (Algeria)</t>
  </si>
  <si>
    <t xml:space="preserve">rel. 462–2662 oocytes g⁻¹ (Portugal)</t>
  </si>
  <si>
    <t xml:space="preserve">Sep–Nov (Portugal); spring+autumn (Algeria)</t>
  </si>
  <si>
    <t xml:space="preserve">Paiva et al. 2016 — Portugal; Méndez Villamil et al. 2002 — Canary; Criscoli et al. 2006 — Italy</t>
  </si>
  <si>
    <t xml:space="preserve">Protandry confirmed (incl. captive sex change). Ratio strongly region-dependent.</t>
  </si>
  <si>
    <t xml:space="preserve">4</t>
  </si>
  <si>
    <t xml:space="preserve">♀:♂ rises with length; ♂-biased overall (~0.6)</t>
  </si>
  <si>
    <t xml:space="preserve">~28 cm TL (♂ prevail &lt;28; ♀ 28–34)</t>
  </si>
  <si>
    <t xml:space="preserve">♂ 18.0 / ♀ 21.7 (Gulf of Cádiz)</t>
  </si>
  <si>
    <t xml:space="preserve">290,070 (Atlantic) / 173,509 (Med) oocytes</t>
  </si>
  <si>
    <t xml:space="preserve">spring–early summer (Cádiz/Alboran)</t>
  </si>
  <si>
    <t xml:space="preserve">Velasco et al. 2010 — Gulf of Cádiz &amp; Alboran (nearest); Bentata-Keddar et al. 2020 — W Algeria</t>
  </si>
  <si>
    <t xml:space="preserve">Velasco (the two seas flanking the Strait) is the nearest source; ♀ increasingly dominant at large size.</t>
  </si>
  <si>
    <t xml:space="preserve">5</t>
  </si>
  <si>
    <t xml:space="preserve">♀-biased above ~25 cm (protandry)</t>
  </si>
  <si>
    <t xml:space="preserve">~30–35 cm TL (between ♂ &amp; ♀ maturity)</t>
  </si>
  <si>
    <t xml:space="preserve">♂ 30.1 / ♀ 35.7 (Strait); ♂ 27.7 / ♀ 34.6 (Azores)</t>
  </si>
  <si>
    <t xml:space="preserve">F = 1028.44·e^(0.15·L) (Azores)</t>
  </si>
  <si>
    <t xml:space="preserve">Jan–Apr (Q1)</t>
  </si>
  <si>
    <t xml:space="preserve">Gil et al. 2001 — Strait of Gibraltar (nearest); Mytilineou et al. 2013 — Ionian; Krug 2023 — Azores</t>
  </si>
  <si>
    <t xml:space="preserve">Strait-of-Gibraltar study (Gil) anchors maturity &amp; sex change locally; primary ♂/♀ that never change also occur.</t>
  </si>
  <si>
    <t xml:space="preserve">6</t>
  </si>
  <si>
    <t xml:space="preserve">0.85 (♂-biased; Canary)</t>
  </si>
  <si>
    <t xml:space="preserve">25–32.5 cm TL (Adriatic); 21–30 cm (Greece)</t>
  </si>
  <si>
    <t xml:space="preserve">♂ 20.7 / ♀ 24.6 (Canary); ~16 (Portugal)</t>
  </si>
  <si>
    <t xml:space="preserve">Jun–Sep (peak Aug–Sep)</t>
  </si>
  <si>
    <t xml:space="preserve">Lorenzo et al. 2002 — Canary (nearest); Kraljević et al. 1995 — Adriatic; Monteiro et al. 2010 — Portugal</t>
  </si>
  <si>
    <t xml:space="preserve">Protandry well documented; ♂ small, ♀ large, intersex intermediate. Sex change 25–32.5 cm (Adriatic).</t>
  </si>
  <si>
    <t xml:space="preserve">7</t>
  </si>
  <si>
    <t xml:space="preserve">2.78 (♀-biased; Tunis)</t>
  </si>
  <si>
    <t xml:space="preserve">17–18 cm TL (Tunis)</t>
  </si>
  <si>
    <t xml:space="preserve">♀ 14.6 / ♂ 15.8 (Tunis)</t>
  </si>
  <si>
    <t xml:space="preserve">Apr–Oct (peak May–Jul)</t>
  </si>
  <si>
    <t xml:space="preserve">Zarrad et al. 2024 — Gulf of Tunis; Mahdi et al. 2018 — W Algeria</t>
  </si>
  <si>
    <t xml:space="preserve">Protogyny confirmed; clean sex-change size now available. Refines Sheet 1.</t>
  </si>
  <si>
    <t xml:space="preserve">8</t>
  </si>
  <si>
    <t xml:space="preserve">Not cleanly reported (protogyny confirmed)</t>
  </si>
  <si>
    <t xml:space="preserve">~25–35 cm TL (Sheet 1: ♀ L50 22.6 / ♂ 26.7)</t>
  </si>
  <si>
    <t xml:space="preserve">nearly all sampled mature (SE USA)</t>
  </si>
  <si>
    <t xml:space="preserve">winter (SE USA)</t>
  </si>
  <si>
    <t xml:space="preserve">Bacheler et al. 2023 — SE USA; Sheet 1: Pajuelo &amp; Lorenzo 1996 (Canary)</t>
  </si>
  <si>
    <t xml:space="preserve">Protogyny confirmed, but no clean Mediterranean/Iberian ratio retrieved; size-at-change carried from Sheet 1.</t>
  </si>
  <si>
    <t xml:space="preserve">9</t>
  </si>
  <si>
    <t xml:space="preserve">≈8 (strongly ♀-biased; Canary)</t>
  </si>
  <si>
    <t xml:space="preserve">~39–53 cm TL (♀ L50 38.7 / ♂ 53.3)</t>
  </si>
  <si>
    <t xml:space="preserve">♀ 38.7 / ♂ 53.3 (Canary)</t>
  </si>
  <si>
    <t xml:space="preserve">Pajuelo et al. 2006 — Canary</t>
  </si>
  <si>
    <t xml:space="preserve">Ratio &amp; sizes from the Sheet 1 source (Canary); large-bodied, long-lived.</t>
  </si>
  <si>
    <t xml:space="preserve">10</t>
  </si>
  <si>
    <t xml:space="preserve">3.49 (♀-biased; N Aegean)</t>
  </si>
  <si>
    <t xml:space="preserve">25.6 cm (Neves) / ~24 cm (Daban); no ♀ &gt;35 cm</t>
  </si>
  <si>
    <t xml:space="preserve">♀ 18.4 (Neves) / ♀ 20.6, ♂ 22.3 (Daban)</t>
  </si>
  <si>
    <t xml:space="preserve">rel. annual 5431 oocytes g⁻¹; mean 109,457 oocytes</t>
  </si>
  <si>
    <t xml:space="preserve">Feb–May</t>
  </si>
  <si>
    <t xml:space="preserve">Neves et al. 2018 — W Portugal; Daban 2022 — N Aegean</t>
  </si>
  <si>
    <t xml:space="preserve">Best-documented protogynous species (your headline); two regions bracket the sex-change schedule.</t>
  </si>
  <si>
    <t xml:space="preserve">1.45 (♀-biased; Canary)</t>
  </si>
  <si>
    <t xml:space="preserve">~35–39 cm TL (♀ L50 34.7 / ♂ 38.6)</t>
  </si>
  <si>
    <t xml:space="preserve">♀ 34.7 / ♂ 38.6 (Canary)</t>
  </si>
  <si>
    <t xml:space="preserve">1672 ×10⁶ eggs (Adriatic, rudimentary form)</t>
  </si>
  <si>
    <t xml:space="preserve">Apr–Sep (peak Jun–Jul)</t>
  </si>
  <si>
    <t xml:space="preserve">Pajuelo et al. 1995 — Canary (nearest); Alves et al. 2011 — Madeira; Grubišić et al. 2007 — Adriatic</t>
  </si>
  <si>
    <t xml:space="preserve">Protogynous off the Canaries; rudimentary in the Adriatic (mode debated — see Sheet 1).</t>
  </si>
  <si>
    <t xml:space="preserve">1.4 (♀-biased; Egypt)</t>
  </si>
  <si>
    <t xml:space="preserve">&gt;29 cm TL in the minority that reverse</t>
  </si>
  <si>
    <t xml:space="preserve">♀ 27 / ♂ 29 (Egypt); ♀ 28.0 / ♂ 36.2 (Guinea)</t>
  </si>
  <si>
    <t xml:space="preserve">84,954–362,295 eggs (absolute)</t>
  </si>
  <si>
    <t xml:space="preserve">Jun–Oct (Egypt); Sep &amp; Mar (Guinea)</t>
  </si>
  <si>
    <t xml:space="preserve">Ismail et al. 2018 — Egypt; Clottey et al. 2024 — Gulf of Guinea</t>
  </si>
  <si>
    <t xml:space="preserve">Mostly rudimentary (~83% of young ♀); limited protogyny at large size.</t>
  </si>
  <si>
    <t xml:space="preserve">13</t>
  </si>
  <si>
    <t xml:space="preserve">≈1:1 (Portugal); 1.17 (Canary)</t>
  </si>
  <si>
    <t xml:space="preserve">N/A (no reliable functional change)</t>
  </si>
  <si>
    <t xml:space="preserve">18.33 (both sexes; Portugal)</t>
  </si>
  <si>
    <t xml:space="preserve">mean 131,127 eggs (31.5k–250.6k)</t>
  </si>
  <si>
    <t xml:space="preserve">Dec–Mar (peak Jan–Feb)</t>
  </si>
  <si>
    <t xml:space="preserve">Gonçalves &amp; Erzini 2000 — SW Portugal (nearest); Pajuelo et al. 2006 — Canary</t>
  </si>
  <si>
    <t xml:space="preserve">Rudimentary hermaphrodite with possible/partial protandry; ratio ≈ parity (Portugal).</t>
  </si>
  <si>
    <t xml:space="preserve">14</t>
  </si>
  <si>
    <t xml:space="preserve">0.79 (♂-biased; Canary); 1.52 (♀-biased; Gabes)</t>
  </si>
  <si>
    <t xml:space="preserve">♂ 10.3 / ♀ 12.8 (Canary); ~10.5 (Gabes)</t>
  </si>
  <si>
    <t xml:space="preserve">Jan–Jun (peak Mar–May)</t>
  </si>
  <si>
    <t xml:space="preserve">Pajuelo et al. 2001 — Canary; Chaouch et al. 2013 — Gulf of Gabes</t>
  </si>
  <si>
    <t xml:space="preserve">Ratio flips by region. Pajuelo terms it protandric (Canary); Sheet 1 adopts rudimentary (Balearic, nearer).</t>
  </si>
  <si>
    <t xml:space="preserve">15</t>
  </si>
  <si>
    <t xml:space="preserve">2.03 (♀-biased; Canary)</t>
  </si>
  <si>
    <t xml:space="preserve">♂ 28.1 / ♀ 29.2 (Canary)</t>
  </si>
  <si>
    <t xml:space="preserve">Sep–Feb (peak Nov)</t>
  </si>
  <si>
    <t xml:space="preserve">Pajuelo et al. 2007 — Canary</t>
  </si>
  <si>
    <t xml:space="preserve">Low-level protandry (1:0.11 transitionals); functionally gonochoristic adults.</t>
  </si>
  <si>
    <t xml:space="preserve">16</t>
  </si>
  <si>
    <t xml:space="preserve">2.16 (♀-biased; Canary)</t>
  </si>
  <si>
    <t xml:space="preserve">♂ mature 32.7 &gt; ♀ 27.3 (haremic)</t>
  </si>
  <si>
    <t xml:space="preserve">♀ 27.3 / ♂ 32.7 (Canary)</t>
  </si>
  <si>
    <t xml:space="preserve">spring–summer (peak May–Jun)</t>
  </si>
  <si>
    <t xml:space="preserve">Pajuelo et al. 2003 — Canary</t>
  </si>
  <si>
    <t xml:space="preserve">MODE DEBATED: Pajuelo (Canary) reports PROTOGYNY + haremic mating (1 ♂ : several ♀); Sheet 1 lists rudimentary; Egyptian work reports protandry. Sex pattern unresolved.</t>
  </si>
  <si>
    <t xml:space="preserve">17</t>
  </si>
  <si>
    <t xml:space="preserve">≈0.9–1.2 (near parity)</t>
  </si>
  <si>
    <t xml:space="preserve">33,072–66,123 oocytes (Aegean)</t>
  </si>
  <si>
    <t xml:space="preserve">Jan–May (peak Feb)</t>
  </si>
  <si>
    <t xml:space="preserve">Dobroslavič et al. 2017 — Adriatic; Taylan et al. 2015 — Aegean</t>
  </si>
  <si>
    <t xml:space="preserve">Gonochoristic with ~6–7% hermaphrodites; ratio near 1:1, slightly ♀-biased in large sizes.</t>
  </si>
  <si>
    <t xml:space="preserve">18</t>
  </si>
  <si>
    <t xml:space="preserve">1.53 (♀-biased; Libya)</t>
  </si>
  <si>
    <t xml:space="preserve">♂ 17.5 / ♀ 18.6 (Libya)</t>
  </si>
  <si>
    <t xml:space="preserve">22,278–366,780 eggs (absolute)</t>
  </si>
  <si>
    <t xml:space="preserve">Mar–Jun</t>
  </si>
  <si>
    <t xml:space="preserve">Rafalah et al. 2018 — Benghazi, Libya</t>
  </si>
  <si>
    <t xml:space="preserve">Predominantly gonochoristic; low-level reversal reported elsewhere.</t>
  </si>
  <si>
    <t xml:space="preserve">1.36 (♀-biased; Mallorca)</t>
  </si>
  <si>
    <t xml:space="preserve">N/A (late gonochore)</t>
  </si>
  <si>
    <t xml:space="preserve">♀ 34.9 / ♂ 33.8 (Mallorca)</t>
  </si>
  <si>
    <t xml:space="preserve">determinate; ♀ weight explains 84% of fecundity</t>
  </si>
  <si>
    <t xml:space="preserve">Apr–May</t>
  </si>
  <si>
    <t xml:space="preserve">Grau et al. 2016 — Mallorca, W Med (nearest)</t>
  </si>
  <si>
    <t xml:space="preserve">Late gonochore (rudimentary hermaphrodite only in &lt;0.8% of juveniles &lt;28 cm); confirms Sheet 1.</t>
  </si>
  <si>
    <t xml:space="preserve">References (peer-reviewed, retrieved via Consensus; full mode sourcing in Sheet 1)</t>
  </si>
  <si>
    <t xml:space="preserve">Aissat-Ziamni, F. et al. (2020) Sex ratio, length–weight relationships and maturity stages of salema Sarpa salpa, central Algerian coast. Applied Ecology and Environmental Research.</t>
  </si>
  <si>
    <t xml:space="preserve">Alves, A. et al. (2011) Aspects of reproduction in pink dentex Dentex gibbosus, Madeira Archipelago.</t>
  </si>
  <si>
    <t xml:space="preserve">Bacheler, N. et al. (2023) Low recruitment drives the decline of red porgy Pagrus pagrus, SE USA. PLOS ONE.</t>
  </si>
  <si>
    <t xml:space="preserve">Benchalel, W. et al. (2013) Age, growth and reproduction of white seabream Diplodus sargus sargus, eastern Algeria. Journal of Applied Ichthyology.</t>
  </si>
  <si>
    <t xml:space="preserve">Bentata-Keddar, I. et al. (2020) Reproduction and growth of axillary seabream Pagellus acarne, western Algerian coasts.</t>
  </si>
  <si>
    <t xml:space="preserve">Boufekane, B. et al. (2021) Reproductive traits and somatic growth of Diplodus sargus sargus, central Algerian coast. Turkish Journal of Fisheries and Aquatic Sciences.</t>
  </si>
  <si>
    <t xml:space="preserve">Chaouch, H. et al. (2013) Reproductive biology of annular seabream Diplodus annularis, Gulf of Gabes. Journal of Applied Ichthyology.</t>
  </si>
  <si>
    <t xml:space="preserve">Clottey, M.N.K. et al. (2024) Stock assessment and reproductive biology of bluespotted seabream Pagrus caeruleostictus. Aquaculture, Fish and Fisheries.</t>
  </si>
  <si>
    <t xml:space="preserve">Criscoli, A. et al. (2006) Reproductive cycle, age and growth of salema Sarpa salpa, western central Italy. Scientia Marina.</t>
  </si>
  <si>
    <t xml:space="preserve">Daban, İ.B. (2022) Age, growth, mortality and reproduction of black seabream Spondyliosoma cantharus, North Aegean Sea. Turkish Journal of Fisheries and Aquatic Sciences.</t>
  </si>
  <si>
    <t xml:space="preserve">Dobroslavić, T. et al. (2017) Reproductive patterns of bogue Boops boops, southeastern Adriatic. Acta Adriatica.</t>
  </si>
  <si>
    <t xml:space="preserve">Gil, J. et al. (2001) Reproductive biology of blackspot seabream Pagellus bogaraveo, Strait of Gibraltar (ICES IXa / SW Spain).</t>
  </si>
  <si>
    <t xml:space="preserve">Gonçalves, J.M.S. &amp; Erzini, K. (2000) Reproductive biology of two-banded seabream Diplodus vulgaris, SW Portugal. Journal of Applied Ichthyology.</t>
  </si>
  <si>
    <t xml:space="preserve">Grau, A. et al. (2016) Reproductive strategies of common dentex Dentex dentex: management implications. Mediterranean Marine Science.</t>
  </si>
  <si>
    <t xml:space="preserve">Grubišić, L. et al. (2007) Reproductive biology of pink dentex Dentex gibbosus, Adriatic Sea. Aquaculture Research.</t>
  </si>
  <si>
    <t xml:space="preserve">Ismail, R.F. et al. (2018) Gonadal development and hermaphroditism of bluespotted seabream Pagrus caeruleostictus, Egypt. Egyptian Journal of Aquatic Research.</t>
  </si>
  <si>
    <t xml:space="preserve">Kallianiotis, A. et al. (2005) Age, growth, mortality, reproduction and feeding of striped seabream Lithognathus mormyrus, Thracian Sea. Scientia Marina.</t>
  </si>
  <si>
    <t xml:space="preserve">Klibansky, N. et al. (2015) Assessing gonad maturity in sequentially hermaphroditic fishes [incl. Pagrus pagrus]. Journal of Fish Biology.</t>
  </si>
  <si>
    <t xml:space="preserve">Kraljević, M. et al. (1995) Sexual maturation, age and growth of striped seabream Lithognathus mormyrus, eastern Adriatic. Journal of Applied Ichthyology.</t>
  </si>
  <si>
    <t xml:space="preserve">Krug, H.M. (2023) The Azorean blackspot seabream Pagellus bogaraveo: reproductive cycle, hermaphroditism, maturity and fecundity. Cybium.</t>
  </si>
  <si>
    <t xml:space="preserve">Lorenzo, J.M. et al. (2002) Age, growth, reproduction and mortality of striped seabream Lithognathus mormyrus, Canary Islands. Journal of Applied Ichthyology.</t>
  </si>
  <si>
    <t xml:space="preserve">Méndez Villamil, M. et al. (2002) Life history of salema Sarpa salpa, Canarian archipelago. Environmental Biology of Fishes.</t>
  </si>
  <si>
    <t xml:space="preserve">Mouine, N. et al. (2007) Reproductive biology of Diplodus sargus sargus, Gulf of Tunis. Scientia Marina.</t>
  </si>
  <si>
    <t xml:space="preserve">Mytilineou, C. et al. (2013) Spatial distribution and life-history of blackspot seabream Pagellus bogaraveo, eastern Ionian Sea. Journal of Fish Biology.</t>
  </si>
  <si>
    <t xml:space="preserve">Neves, A. et al. (2018) Reproductive strategy of black seabream Spondyliosoma cantharus, Portuguese waters. Fisheries Research.</t>
  </si>
  <si>
    <t xml:space="preserve">Paiva, R. et al. (2016) Age, growth and reproduction of salema Sarpa salpa, Portuguese continental coast. Journal of the Marine Biological Association of the UK.</t>
  </si>
  <si>
    <t xml:space="preserve">Pajuelo, J.G. et al. (1995) Biological parameters of pink dentex Dentex gibbosus, Canary Islands. African Journal of Marine Science.</t>
  </si>
  <si>
    <t xml:space="preserve">Pajuelo, J.G. et al. (2000) Reproduction, age, growth and mortality of axillary seabream Pagellus acarne, Canarian archipelago. Journal of Applied Ichthyology.</t>
  </si>
  <si>
    <t xml:space="preserve">Pajuelo, J.G. et al. (2001) Biology of annular seabream Diplodus annularis, Canary Islands. Journal of Applied Ichthyology.</t>
  </si>
  <si>
    <t xml:space="preserve">Pajuelo, J.G. et al. (2003) Population ecology of zebra seabream Diplodus cervinus cervinus, Canarian archipelago. Environmental Biology of Fishes.</t>
  </si>
  <si>
    <t xml:space="preserve">Pajuelo, J.G. et al. (2006) Reproductive characteristics of Diplodus vulgaris, Canarian archipelago. Journal of Applied Ichthyology.</t>
  </si>
  <si>
    <t xml:space="preserve">Pajuelo, J.G. et al. (2007) Gonadal development and spawning of sharpsnout seabream Diplodus puntazzo, Canary Islands. Journal of Applied Ichthyology.</t>
  </si>
  <si>
    <t xml:space="preserve">Papadaki, M. et al. (2022) Sex ratio and egg production of gilthead seabream Sparus aurata over five reproductive seasons. Aquaculture and Fisheries.</t>
  </si>
  <si>
    <t xml:space="preserve">Rachedi, M. et al. (2025) Reproductive dynamic of common pandora Pagellus erythrinus, eastern Algeria. Applied Ecology and Environmental Research.</t>
  </si>
  <si>
    <t xml:space="preserve">Rafalah, F. et al. (2018) Reproductive biology of saddled seabream Oblada melanura, Benghazi coast, Libya. Al-Azhar Bulletin of Science.</t>
  </si>
  <si>
    <t xml:space="preserve">Taylan, B. et al. (2015) Fecundity of bogue Boops boops, Turkish Aegean Sea. Journal of Coastal Life Medicine.</t>
  </si>
  <si>
    <t xml:space="preserve">Velasco, E.M. et al. (2010) Age, growth and reproduction of axillary seabream Pagellus acarne, Atlantic and Mediterranean waters off southern Spain. Journal of the Marine Biological Association of the UK.</t>
  </si>
  <si>
    <t xml:space="preserve">Zarrad, R. et al. (2024) Reproductive cycle and sex reversal of common pandora Pagellus erythrinus, Gulf of Tunis.</t>
  </si>
  <si>
    <t xml:space="preserve">Carried from Sheet 1 (Canary Is. mode sourcing): Pajuelo &amp; Lorenzo (1995, 1996, 1998).</t>
  </si>
  <si>
    <t xml:space="preserve">BGTW Sparidae — LB-SPR Input Parameters (ψ_f sex-change &amp; maturity ogives)</t>
  </si>
  <si>
    <t xml:space="preserve">Model-ready ogive parameters derived from the reproductive evidence in Sheet 2, prioritising the nearest source to Gibraltar. sex_system feeds the model's sex argument. LD50/LD95 define the functional-female ogive ψ_f: for RUDIMENTARY and GONOCHORISTIC species ψ_f ≡ ½, which cancels and reduces the amendment to standard LB-SPR, so LD50/LD95 are not used (shown 'n/a (½)'). LD95 is derived as 1.10·LD50 (the model's LDELTA_FACTOR) where no spread was reported; L95 as 1.20·L50. L50 is FIRST-maturity (♂ for protandry, ♀ for protogyny — the first functional sex), so maturity and sex are separated cleanly. FecB = fecundity–length exponent, set to 3.0 (isometric) for ALL species: no species-specific power-law fecundity fit exists in the literature, so hyperallometry (FecB &gt; 3) should be run as a sensitivity, not assumed. All lengths cm TL. Confidence flagged per row. │ NEW (growth &amp; mortality block): Linf, K, M and M/K added per species, keyed to the study nearest Gibraltar (see Growth &amp; mortality source). M/K is the key LB-SPR input and the single largest source of SPR bias, so each species is run at its own empirical M/K rather than the 1.5 default; daggered (†) M (and K for Dentex dentex) are estimated, not directly reported. CVLinf is held at its ~0.1 default with no empirical anchor.</t>
  </si>
  <si>
    <t xml:space="preserve">sex_system (model arg)</t>
  </si>
  <si>
    <t xml:space="preserve">LD50 (cm TL)</t>
  </si>
  <si>
    <t xml:space="preserve">LD95 (cm TL) =1.10·LD50</t>
  </si>
  <si>
    <t xml:space="preserve">L50 mat (cm TL)</t>
  </si>
  <si>
    <t xml:space="preserve">L95 mat (cm TL) =1.20·L50</t>
  </si>
  <si>
    <t xml:space="preserve">Linf (cm TL)</t>
  </si>
  <si>
    <t xml:space="preserve">K (yr⁻¹)</t>
  </si>
  <si>
    <t xml:space="preserve">M (yr⁻¹)</t>
  </si>
  <si>
    <t xml:space="preserve">M/K</t>
  </si>
  <si>
    <t xml:space="preserve">FecB</t>
  </si>
  <si>
    <t xml:space="preserve">Source — nearest region (LD50 / L50)</t>
  </si>
  <si>
    <t xml:space="preserve">Growth &amp; mortality source</t>
  </si>
  <si>
    <t xml:space="preserve">Confidence &amp; notes</t>
  </si>
  <si>
    <t xml:space="preserve">protandry</t>
  </si>
  <si>
    <t xml:space="preserve">S. Med / Atlantic (Hadj-Taïeb 2013 ~18.8; Sheet 1)</t>
  </si>
  <si>
    <t xml:space="preserve">Mostafa 2023 (Bardawil Egypt)</t>
  </si>
  <si>
    <t xml:space="preserve">LOW: sex change socially controlled, 19–40 cm across studies. Treat LD50 as a sensitivity, not a fixed input.</t>
  </si>
  <si>
    <t xml:space="preserve">0.23†</t>
  </si>
  <si>
    <t xml:space="preserve">Boufekane 2021 (C Algeria); Benchalel 2013 (E Algeria, L50)</t>
  </si>
  <si>
    <t xml:space="preserve">Benchalel 2013 (E Algeria)</t>
  </si>
  <si>
    <t xml:space="preserve">MEDIUM: sex-change median 23.5 cm (12–32 overlap); ♂≈♀ maturity ~20 cm.</t>
  </si>
  <si>
    <t xml:space="preserve">0.21†</t>
  </si>
  <si>
    <t xml:space="preserve">Paiva 2016 (Portugal, nearest); Criscoli 2006 (Italy)</t>
  </si>
  <si>
    <t xml:space="preserve">Paiva 2016 (Portugal)</t>
  </si>
  <si>
    <t xml:space="preserve">MEDIUM: sex change 28.6–40.9 cm (Portugal), wide regional spread (24–41); L50 = ♂ first maturity.</t>
  </si>
  <si>
    <t xml:space="preserve">Velasco 2010 (Gulf of Cádiz &amp; Alboran, nearest)</t>
  </si>
  <si>
    <t xml:space="preserve">Velasco 2010 (Cadiz/Alboran); M from Pajuelo 2000</t>
  </si>
  <si>
    <t xml:space="preserve">HIGH: nearest source = the two seas flanking the Strait. ♂ prevail &lt;28 cm; L50 = ♂ maturity (Cádiz).</t>
  </si>
  <si>
    <t xml:space="preserve">Gil 2001 (STRAIT OF GIBRALTAR, nearest)</t>
  </si>
  <si>
    <t xml:space="preserve">Paladin 2023 (E Adriatic)</t>
  </si>
  <si>
    <t xml:space="preserve">HIGH: maturity ♂30.1/♀35.7 from Strait-of-Gibraltar fish; LD50 set between the two. Local provenance.</t>
  </si>
  <si>
    <t xml:space="preserve">Lorenzo 2002 (Canary, L50); Kraljević 1995 (Adriatic, sex change)</t>
  </si>
  <si>
    <t xml:space="preserve">Monteiro 2010 (S Portugal)</t>
  </si>
  <si>
    <t xml:space="preserve">MEDIUM: sex change 25–32.5 cm (Adriatic); Canary change lower (~22–25). Regional variation.</t>
  </si>
  <si>
    <t xml:space="preserve">protogyny</t>
  </si>
  <si>
    <t xml:space="preserve">Zarrad 2024 (Tunis); agrees with Pajuelo &amp; Lorenzo 1998 (Canary)</t>
  </si>
  <si>
    <t xml:space="preserve">Pajuelo 1998 (Canary)</t>
  </si>
  <si>
    <t xml:space="preserve">HIGH: clean sex reversal 17–18 cm; two regions concur. L50 = ♀ maturity.</t>
  </si>
  <si>
    <t xml:space="preserve">0.27†</t>
  </si>
  <si>
    <t xml:space="preserve">Pajuelo &amp; Lorenzo 1996 (Canary, Sheet 1)</t>
  </si>
  <si>
    <t xml:space="preserve">Ayyildiz 2020 (N Aegean)</t>
  </si>
  <si>
    <t xml:space="preserve">MEDIUM: no Mediterranean ogive; ♀ L50 22.6 / ♂ 26.7 (Canary); LD50 between.</t>
  </si>
  <si>
    <t xml:space="preserve">Pajuelo et al. 2006 (Canary)</t>
  </si>
  <si>
    <t xml:space="preserve">Pajuelo 2006 (Canary)</t>
  </si>
  <si>
    <t xml:space="preserve">MEDIUM: ♀ L50 38.7 / ♂ 53.3 (Canary); large-bodied, strongly ♀-biased (~8:1).</t>
  </si>
  <si>
    <t xml:space="preserve">Neves 2018 (W Portugal, nearest); Daban 2022 (N Aegean)</t>
  </si>
  <si>
    <t xml:space="preserve">Daban 2022 (N Aegean); Portugal M 0.26-0.37</t>
  </si>
  <si>
    <t xml:space="preserve">HIGH (headline): sex change 24–25.6 cm. EMPIRICAL SPREAD WIDER than ×1.10 — no ♀ &gt;35 cm, so true LD95 likely ~30–35, not 27.5. Consider a wider ogive here.</t>
  </si>
  <si>
    <t xml:space="preserve">Pajuelo et al. 1995 (Canary)</t>
  </si>
  <si>
    <t xml:space="preserve">Pajuelo 1995 (Canary)</t>
  </si>
  <si>
    <t xml:space="preserve">MEDIUM: ♀ L50 34.7 / ♂ 38.6 (Canary). MODE DEBATED (protogynous Canary vs rudimentary Adriatic).</t>
  </si>
  <si>
    <t xml:space="preserve">Ismail et al. 2018 (Egypt)</t>
  </si>
  <si>
    <t xml:space="preserve">Clottey 2024 (Gulf of Guinea)</t>
  </si>
  <si>
    <t xml:space="preserve">LOW–MEDIUM: mostly RUDIMENTARY (~83% young ♀); only a minority reverse &gt;29 cm. ψ_f barely departs from ½ — could be modelled as rudimentary.</t>
  </si>
  <si>
    <t xml:space="preserve">rudimentary</t>
  </si>
  <si>
    <t xml:space="preserve">n/a (½)</t>
  </si>
  <si>
    <t xml:space="preserve">Gonçalves &amp; Erzini 2000 (SW Portugal, nearest)</t>
  </si>
  <si>
    <t xml:space="preserve">Ismen 2019 (N Aegean)</t>
  </si>
  <si>
    <t xml:space="preserve">ψ_f ≡ ½ → reduces to standard LBSPR. L50 = 18.33 (both sexes); only partial protandry, no functional LD50.</t>
  </si>
  <si>
    <t xml:space="preserve">0.39†</t>
  </si>
  <si>
    <t xml:space="preserve">Chaouch 2013 (Gabes); Pajuelo 2001 (Canary)</t>
  </si>
  <si>
    <t xml:space="preserve">Pajuelo 2001 (Canary); M from Matic-Skoko 2007</t>
  </si>
  <si>
    <t xml:space="preserve">ψ_f ≡ ½ → standard LBSPR. L50 ~10.5–12.8 (region-dependent). No functional sex change.</t>
  </si>
  <si>
    <t xml:space="preserve">Pajuelo et al. 2007 (Canary)</t>
  </si>
  <si>
    <t xml:space="preserve">Aydin 2021 (Black Sea)</t>
  </si>
  <si>
    <t xml:space="preserve">ψ_f ≡ ½ → standard LBSPR. ♂ 28.1 / ♀ 29.2 (Canary); 1:0.11 transitionals only.</t>
  </si>
  <si>
    <t xml:space="preserve">Pajuelo et al. 2003 (Canary)</t>
  </si>
  <si>
    <t xml:space="preserve">Pajuelo 2003 (Canary)</t>
  </si>
  <si>
    <t xml:space="preserve">MODE UNRESOLVED — Pajuelo (Canary) reports PROTOGYNY + haremic mating (♀27.3/♂32.7). IF protogynous: set sex_system='protogyny', LD50≈30, LD95≈33. Sheet 1 currently treats as rudimentary (ψ_f≡½). RESOLVE before final run.</t>
  </si>
  <si>
    <t xml:space="preserve">gonochore</t>
  </si>
  <si>
    <t xml:space="preserve">L50 not retrieved (~13 cm typical); Dobroslavič 2017 (ratio)</t>
  </si>
  <si>
    <t xml:space="preserve">Handjar 2022 (W Algeria)</t>
  </si>
  <si>
    <t xml:space="preserve">ψ_f ≡ ½ → standard LBSPR. L50 ~13 cm is a PLACEHOLDER (not retrieved); refine before use. ~6–7% hermaphrodites.</t>
  </si>
  <si>
    <t xml:space="preserve">Rafalah et al. 2018 (Libya)</t>
  </si>
  <si>
    <t xml:space="preserve">Daban 2020 (N Aegean)</t>
  </si>
  <si>
    <t xml:space="preserve">ψ_f ≡ ½ → standard LBSPR. ♂ 17.5 / ♀ 18.6 (Libya).</t>
  </si>
  <si>
    <t xml:space="preserve">0.12†</t>
  </si>
  <si>
    <t xml:space="preserve">0.18†</t>
  </si>
  <si>
    <t xml:space="preserve">Grau et al. 2016 (Mallorca, W Med, nearest)</t>
  </si>
  <si>
    <t xml:space="preserve">Grau 2016 (Mallorca)</t>
  </si>
  <si>
    <t xml:space="preserve">ψ_f ≡ ½ → standard LBSPR. Late gonochore; ♀ L50 34.9 / ♂ 33.8 (Mallorca).</t>
  </si>
  <si>
    <t xml:space="preserve">BGTW Sparidae — LB-SPR Complete Parameter Set (model-ready, flat table)</t>
  </si>
  <si>
    <t xml:space="preserve">Flat, ingestion-ready mirror of BGTW_Sparidae_LBSPR_params.csv: one row per species, all fourteen fields. This is the table fed to fit_lbspr_one / spr_sex_structured. sex_system is the model's sex argument. LD50/LD95 are left EMPTY (not n/a) for the seven rudimentary and gonochoristic species — their ψ_f collapses to ½, which cancels and reduces the amendment to standard LB-SPR, so the blank routes them into that branch on sex_system alone. LD95 = ROUND(1.10·LD50,1) and L95 = ROUND(1.20·L50,1) are carried here as their recalculated values, not formulas. L50 is first-maturity of the first functional sex (♂ for protandry, ♀ for protogyny); FecB = 3.0 (isometric) for all species, with hyperallometry a sensitivity rather than an assertion. M/K is the key LB-SPR input and the single largest source of SPR bias, so each species carries its own empirical M/K rather than the 1.5 default; daggered (†) M (and K for Dentex dentex) are estimated, not directly reported; CVLinf is held at its ~0.1 default with no empirical anchor. Lengths cm TL; rates yr⁻¹.</t>
  </si>
  <si>
    <t xml:space="preserve">scientific_name</t>
  </si>
  <si>
    <t xml:space="preserve">common_name</t>
  </si>
  <si>
    <t xml:space="preserve">sex_system</t>
  </si>
  <si>
    <t xml:space="preserve">LD50</t>
  </si>
  <si>
    <t xml:space="preserve">LD95</t>
  </si>
  <si>
    <t xml:space="preserve">L50</t>
  </si>
  <si>
    <t xml:space="preserve">L95</t>
  </si>
  <si>
    <t xml:space="preserve">Linf</t>
  </si>
  <si>
    <t xml:space="preserve">K</t>
  </si>
  <si>
    <t xml:space="preserve">M</t>
  </si>
  <si>
    <t xml:space="preserve">M_over_K</t>
  </si>
  <si>
    <t xml:space="preserve">growth_mortality_source</t>
  </si>
  <si>
    <t xml:space="preserve">confidence_note</t>
  </si>
  <si>
    <t xml:space="preserve">LD50 LOW (socially controlled 19-40cm); growth from fished lagoon</t>
  </si>
  <si>
    <t xml:space="preserve">M estimated (M/K~1.5); LD50 median sex change</t>
  </si>
  <si>
    <t xml:space="preserve">M estimated; wide regional spread in sex change 24-41cm</t>
  </si>
  <si>
    <t xml:space="preserve">HIGH: growth from the two seas flanking the Strait</t>
  </si>
  <si>
    <t xml:space="preserve">M estimated; ogive from Strait (Gil 2001); empirical ogive wider than x1.10 - no females &gt;35cm so true LD95 ~30-35</t>
  </si>
  <si>
    <t xml:space="preserve">HIGH: clean M and K from Algarve; sex change 25-32.5cm (Adriatic)</t>
  </si>
  <si>
    <t xml:space="preserve">HIGH: clean; sex reversal 17-18cm confirmed two regions</t>
  </si>
  <si>
    <t xml:space="preserve">M estimated; no Mediterranean ogive; sex ratio not cleanly reported</t>
  </si>
  <si>
    <t xml:space="preserve">HIGH: clean; large-bodied long-lived (18yr); strongly female-biased ~8:1</t>
  </si>
  <si>
    <t xml:space="preserve">HEADLINE: empirical M/K=2.24 NOT 1.5 default; run M/K as sensitivity; widen ogive (no females &gt;35cm)</t>
  </si>
  <si>
    <t xml:space="preserve">MEDIUM: mode debated (protogynous Canary vs rudimentary Adriatic)</t>
  </si>
  <si>
    <t xml:space="preserve">LOW-MED: mostly rudimentary (~83% young female); growth tropical/distant; could model as rudimentary</t>
  </si>
  <si>
    <t xml:space="preserve">psi_f=1/2 -&gt; standard LBSPR; L50=18.33 both sexes (Goncalves Portugal)</t>
  </si>
  <si>
    <t xml:space="preserve">psi_f=1/2 -&gt; standard LBSPR; L50 region-dependent 10.5-12.8</t>
  </si>
  <si>
    <t xml:space="preserve">psi_f=1/2 -&gt; standard LBSPR; 1:0.11 transitionals only</t>
  </si>
  <si>
    <t xml:space="preserve">MODE UNRESOLVED: Pajuelo reports PROTOGYNY+haremic (female27.3/male32.7); if protogynous set sex_system=protogyny LD50~30 LD95~33; RESOLVE before final run</t>
  </si>
  <si>
    <t xml:space="preserve">psi_f=1/2 -&gt; standard LBSPR; L50~13cm is PLACEHOLDER (not retrieved); refine</t>
  </si>
  <si>
    <t xml:space="preserve">psi_f=1/2 -&gt; standard LBSPR; male17.5/female18.6 (Libya)</t>
  </si>
  <si>
    <t xml:space="preserve">psi_f=1/2 -&gt; standard LBSPR; late gonochore; K and M not cleanly reported (estimated)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</si>
</sst>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305496"/>
        <bgColor rgb="FF1F3864"/>
      </patternFill>
    </fill>
    <fill>
      <patternFill patternType="solid">
        <fgColor rgb="FFBBDEFB"/>
        <bgColor rgb="FFC8E6C9"/>
      </patternFill>
    </fill>
    <fill>
      <patternFill patternType="solid">
        <fgColor rgb="FFF8BBD0"/>
        <bgColor rgb="FFD9D9D9"/>
      </patternFill>
    </fill>
    <fill>
      <patternFill patternType="solid">
        <fgColor rgb="FFFFE0B2"/>
        <bgColor rgb="FFD9D9D9"/>
      </patternFill>
    </fill>
    <fill>
      <patternFill patternType="solid">
        <fgColor rgb="FFC8E6C9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9D9D9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8BBD0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52"/>
    <col collapsed="false" customWidth="true" hidden="false" outlineLevel="0" max="2" min="2" style="1" width="23"/>
    <col collapsed="false" customWidth="true" hidden="false" outlineLevel="0" max="3" min="3" style="1" width="20"/>
    <col collapsed="false" customWidth="true" hidden="false" outlineLevel="0" max="4" min="4" style="1" width="19"/>
    <col collapsed="false" customWidth="true" hidden="false" outlineLevel="0" max="5" min="5" style="1" width="30"/>
    <col collapsed="false" customWidth="true" hidden="false" outlineLevel="0" max="6" min="6" style="1" width="24"/>
    <col collapsed="false" customWidth="true" hidden="false" outlineLevel="0" max="7" min="7" style="1" width="36"/>
    <col collapsed="false" customWidth="true" hidden="false" outlineLevel="0" max="8" min="8" style="1" width="5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66" hidden="false" customHeight="true" outlineLevel="0" collapsed="false">
      <c r="A4" s="5" t="n">
        <v>1</v>
      </c>
      <c r="B4" s="6" t="s">
        <v>10</v>
      </c>
      <c r="C4" s="7" t="s">
        <v>11</v>
      </c>
      <c r="D4" s="8" t="s">
        <v>12</v>
      </c>
      <c r="E4" s="7" t="s">
        <v>13</v>
      </c>
      <c r="F4" s="7" t="s">
        <v>14</v>
      </c>
      <c r="G4" s="7" t="s">
        <v>15</v>
      </c>
      <c r="H4" s="7" t="s">
        <v>16</v>
      </c>
    </row>
    <row r="5" customFormat="false" ht="66" hidden="false" customHeight="true" outlineLevel="0" collapsed="false">
      <c r="A5" s="5" t="n">
        <v>2</v>
      </c>
      <c r="B5" s="6" t="s">
        <v>17</v>
      </c>
      <c r="C5" s="7" t="s">
        <v>18</v>
      </c>
      <c r="D5" s="8" t="s">
        <v>12</v>
      </c>
      <c r="E5" s="7" t="s">
        <v>19</v>
      </c>
      <c r="F5" s="7" t="s">
        <v>20</v>
      </c>
      <c r="G5" s="7" t="s">
        <v>21</v>
      </c>
      <c r="H5" s="7" t="s">
        <v>22</v>
      </c>
    </row>
    <row r="6" customFormat="false" ht="66" hidden="false" customHeight="true" outlineLevel="0" collapsed="false">
      <c r="A6" s="5" t="n">
        <v>3</v>
      </c>
      <c r="B6" s="6" t="s">
        <v>23</v>
      </c>
      <c r="C6" s="7" t="s">
        <v>24</v>
      </c>
      <c r="D6" s="8" t="s">
        <v>12</v>
      </c>
      <c r="E6" s="7" t="s">
        <v>25</v>
      </c>
      <c r="F6" s="7" t="s">
        <v>26</v>
      </c>
      <c r="G6" s="7" t="s">
        <v>27</v>
      </c>
      <c r="H6" s="7" t="s">
        <v>28</v>
      </c>
    </row>
    <row r="7" customFormat="false" ht="66" hidden="false" customHeight="true" outlineLevel="0" collapsed="false">
      <c r="A7" s="5" t="n">
        <v>4</v>
      </c>
      <c r="B7" s="6" t="s">
        <v>29</v>
      </c>
      <c r="C7" s="7" t="s">
        <v>30</v>
      </c>
      <c r="D7" s="9" t="s">
        <v>12</v>
      </c>
      <c r="E7" s="7" t="s">
        <v>31</v>
      </c>
      <c r="F7" s="7" t="s">
        <v>32</v>
      </c>
      <c r="G7" s="7" t="s">
        <v>33</v>
      </c>
      <c r="H7" s="7" t="s">
        <v>34</v>
      </c>
    </row>
    <row r="8" customFormat="false" ht="66" hidden="false" customHeight="true" outlineLevel="0" collapsed="false">
      <c r="A8" s="5" t="n">
        <v>5</v>
      </c>
      <c r="B8" s="6" t="s">
        <v>35</v>
      </c>
      <c r="C8" s="7" t="s">
        <v>36</v>
      </c>
      <c r="D8" s="9" t="s">
        <v>12</v>
      </c>
      <c r="E8" s="7" t="s">
        <v>37</v>
      </c>
      <c r="F8" s="7" t="s">
        <v>38</v>
      </c>
      <c r="G8" s="7" t="s">
        <v>39</v>
      </c>
      <c r="H8" s="7" t="s">
        <v>40</v>
      </c>
    </row>
    <row r="9" customFormat="false" ht="66" hidden="false" customHeight="true" outlineLevel="0" collapsed="false">
      <c r="A9" s="5" t="n">
        <v>6</v>
      </c>
      <c r="B9" s="6" t="s">
        <v>41</v>
      </c>
      <c r="C9" s="7" t="s">
        <v>42</v>
      </c>
      <c r="D9" s="9" t="s">
        <v>12</v>
      </c>
      <c r="E9" s="7" t="s">
        <v>43</v>
      </c>
      <c r="F9" s="7" t="s">
        <v>44</v>
      </c>
      <c r="G9" s="7" t="s">
        <v>45</v>
      </c>
      <c r="H9" s="7" t="s">
        <v>46</v>
      </c>
    </row>
    <row r="10" customFormat="false" ht="66" hidden="false" customHeight="true" outlineLevel="0" collapsed="false">
      <c r="A10" s="10" t="n">
        <v>7</v>
      </c>
      <c r="B10" s="11" t="s">
        <v>47</v>
      </c>
      <c r="C10" s="12" t="s">
        <v>48</v>
      </c>
      <c r="D10" s="13" t="s">
        <v>49</v>
      </c>
      <c r="E10" s="12" t="s">
        <v>50</v>
      </c>
      <c r="F10" s="12" t="s">
        <v>51</v>
      </c>
      <c r="G10" s="12" t="s">
        <v>52</v>
      </c>
      <c r="H10" s="12" t="s">
        <v>53</v>
      </c>
    </row>
    <row r="11" customFormat="false" ht="66" hidden="false" customHeight="true" outlineLevel="0" collapsed="false">
      <c r="A11" s="10" t="n">
        <v>8</v>
      </c>
      <c r="B11" s="11" t="s">
        <v>54</v>
      </c>
      <c r="C11" s="12" t="s">
        <v>55</v>
      </c>
      <c r="D11" s="13" t="s">
        <v>49</v>
      </c>
      <c r="E11" s="12" t="s">
        <v>56</v>
      </c>
      <c r="F11" s="12" t="s">
        <v>57</v>
      </c>
      <c r="G11" s="12" t="s">
        <v>58</v>
      </c>
      <c r="H11" s="12" t="s">
        <v>59</v>
      </c>
    </row>
    <row r="12" customFormat="false" ht="66" hidden="false" customHeight="true" outlineLevel="0" collapsed="false">
      <c r="A12" s="10" t="n">
        <v>9</v>
      </c>
      <c r="B12" s="11" t="s">
        <v>60</v>
      </c>
      <c r="C12" s="12" t="s">
        <v>61</v>
      </c>
      <c r="D12" s="13" t="s">
        <v>49</v>
      </c>
      <c r="E12" s="12" t="s">
        <v>62</v>
      </c>
      <c r="F12" s="12" t="s">
        <v>63</v>
      </c>
      <c r="G12" s="12" t="s">
        <v>64</v>
      </c>
      <c r="H12" s="12" t="s">
        <v>65</v>
      </c>
    </row>
    <row r="13" customFormat="false" ht="66" hidden="false" customHeight="true" outlineLevel="0" collapsed="false">
      <c r="A13" s="10" t="n">
        <v>10</v>
      </c>
      <c r="B13" s="11" t="s">
        <v>66</v>
      </c>
      <c r="C13" s="12" t="s">
        <v>67</v>
      </c>
      <c r="D13" s="13" t="s">
        <v>49</v>
      </c>
      <c r="E13" s="12" t="s">
        <v>68</v>
      </c>
      <c r="F13" s="12" t="s">
        <v>69</v>
      </c>
      <c r="G13" s="12" t="s">
        <v>70</v>
      </c>
      <c r="H13" s="12" t="s">
        <v>71</v>
      </c>
    </row>
    <row r="14" customFormat="false" ht="66" hidden="false" customHeight="true" outlineLevel="0" collapsed="false">
      <c r="A14" s="10" t="s">
        <v>72</v>
      </c>
      <c r="B14" s="11" t="s">
        <v>73</v>
      </c>
      <c r="C14" s="12" t="s">
        <v>74</v>
      </c>
      <c r="D14" s="13" t="s">
        <v>49</v>
      </c>
      <c r="E14" s="12" t="s">
        <v>75</v>
      </c>
      <c r="F14" s="12" t="s">
        <v>76</v>
      </c>
      <c r="G14" s="12" t="s">
        <v>77</v>
      </c>
      <c r="H14" s="12" t="s">
        <v>78</v>
      </c>
    </row>
    <row r="15" customFormat="false" ht="66" hidden="false" customHeight="true" outlineLevel="0" collapsed="false">
      <c r="A15" s="10" t="s">
        <v>79</v>
      </c>
      <c r="B15" s="11" t="s">
        <v>80</v>
      </c>
      <c r="C15" s="12" t="s">
        <v>81</v>
      </c>
      <c r="D15" s="13" t="s">
        <v>49</v>
      </c>
      <c r="E15" s="12" t="s">
        <v>82</v>
      </c>
      <c r="F15" s="12" t="s">
        <v>83</v>
      </c>
      <c r="G15" s="12" t="s">
        <v>84</v>
      </c>
      <c r="H15" s="12" t="s">
        <v>85</v>
      </c>
    </row>
    <row r="16" customFormat="false" ht="66" hidden="false" customHeight="true" outlineLevel="0" collapsed="false">
      <c r="A16" s="14" t="n">
        <v>13</v>
      </c>
      <c r="B16" s="15" t="s">
        <v>86</v>
      </c>
      <c r="C16" s="16" t="s">
        <v>87</v>
      </c>
      <c r="D16" s="17" t="s">
        <v>88</v>
      </c>
      <c r="E16" s="16" t="s">
        <v>89</v>
      </c>
      <c r="F16" s="16" t="s">
        <v>89</v>
      </c>
      <c r="G16" s="16" t="s">
        <v>90</v>
      </c>
      <c r="H16" s="16" t="s">
        <v>91</v>
      </c>
    </row>
    <row r="17" customFormat="false" ht="66" hidden="false" customHeight="true" outlineLevel="0" collapsed="false">
      <c r="A17" s="14" t="n">
        <v>14</v>
      </c>
      <c r="B17" s="15" t="s">
        <v>92</v>
      </c>
      <c r="C17" s="16" t="s">
        <v>93</v>
      </c>
      <c r="D17" s="17" t="s">
        <v>88</v>
      </c>
      <c r="E17" s="16" t="s">
        <v>89</v>
      </c>
      <c r="F17" s="16" t="s">
        <v>89</v>
      </c>
      <c r="G17" s="16" t="s">
        <v>94</v>
      </c>
      <c r="H17" s="16" t="s">
        <v>95</v>
      </c>
    </row>
    <row r="18" customFormat="false" ht="66" hidden="false" customHeight="true" outlineLevel="0" collapsed="false">
      <c r="A18" s="14" t="n">
        <v>15</v>
      </c>
      <c r="B18" s="15" t="s">
        <v>96</v>
      </c>
      <c r="C18" s="16" t="s">
        <v>97</v>
      </c>
      <c r="D18" s="17" t="s">
        <v>88</v>
      </c>
      <c r="E18" s="16" t="s">
        <v>89</v>
      </c>
      <c r="F18" s="16" t="s">
        <v>89</v>
      </c>
      <c r="G18" s="16" t="s">
        <v>98</v>
      </c>
      <c r="H18" s="16" t="s">
        <v>99</v>
      </c>
    </row>
    <row r="19" customFormat="false" ht="66" hidden="false" customHeight="true" outlineLevel="0" collapsed="false">
      <c r="A19" s="14" t="n">
        <v>16</v>
      </c>
      <c r="B19" s="15" t="s">
        <v>100</v>
      </c>
      <c r="C19" s="16" t="s">
        <v>101</v>
      </c>
      <c r="D19" s="17" t="s">
        <v>88</v>
      </c>
      <c r="E19" s="16" t="s">
        <v>89</v>
      </c>
      <c r="F19" s="16" t="s">
        <v>89</v>
      </c>
      <c r="G19" s="16" t="s">
        <v>102</v>
      </c>
      <c r="H19" s="16" t="s">
        <v>103</v>
      </c>
    </row>
    <row r="20" customFormat="false" ht="66" hidden="false" customHeight="true" outlineLevel="0" collapsed="false">
      <c r="A20" s="18" t="n">
        <v>17</v>
      </c>
      <c r="B20" s="19" t="s">
        <v>104</v>
      </c>
      <c r="C20" s="20" t="s">
        <v>105</v>
      </c>
      <c r="D20" s="21" t="s">
        <v>106</v>
      </c>
      <c r="E20" s="20" t="s">
        <v>89</v>
      </c>
      <c r="F20" s="20" t="s">
        <v>89</v>
      </c>
      <c r="G20" s="20" t="s">
        <v>107</v>
      </c>
      <c r="H20" s="20" t="s">
        <v>108</v>
      </c>
    </row>
    <row r="21" customFormat="false" ht="66" hidden="false" customHeight="true" outlineLevel="0" collapsed="false">
      <c r="A21" s="18" t="n">
        <v>18</v>
      </c>
      <c r="B21" s="19" t="s">
        <v>109</v>
      </c>
      <c r="C21" s="20" t="s">
        <v>110</v>
      </c>
      <c r="D21" s="21" t="s">
        <v>106</v>
      </c>
      <c r="E21" s="20" t="s">
        <v>89</v>
      </c>
      <c r="F21" s="20" t="s">
        <v>89</v>
      </c>
      <c r="G21" s="20" t="s">
        <v>111</v>
      </c>
      <c r="H21" s="20" t="s">
        <v>112</v>
      </c>
    </row>
    <row r="22" customFormat="false" ht="66" hidden="false" customHeight="true" outlineLevel="0" collapsed="false">
      <c r="A22" s="18" t="s">
        <v>113</v>
      </c>
      <c r="B22" s="19" t="s">
        <v>114</v>
      </c>
      <c r="C22" s="20" t="s">
        <v>115</v>
      </c>
      <c r="D22" s="21" t="s">
        <v>106</v>
      </c>
      <c r="E22" s="20" t="s">
        <v>89</v>
      </c>
      <c r="F22" s="20" t="s">
        <v>89</v>
      </c>
      <c r="G22" s="20" t="s">
        <v>116</v>
      </c>
      <c r="H22" s="20" t="s">
        <v>117</v>
      </c>
    </row>
    <row r="24" customFormat="false" ht="15" hidden="false" customHeight="true" outlineLevel="0" collapsed="false">
      <c r="A24" s="22" t="s">
        <v>118</v>
      </c>
    </row>
    <row r="25" customFormat="false" ht="15" hidden="false" customHeight="true" outlineLevel="0" collapsed="false">
      <c r="B25" s="23" t="s">
        <v>119</v>
      </c>
    </row>
    <row r="26" customFormat="false" ht="15" hidden="false" customHeight="true" outlineLevel="0" collapsed="false">
      <c r="B26" s="24" t="s">
        <v>120</v>
      </c>
    </row>
    <row r="27" customFormat="false" ht="15" hidden="false" customHeight="true" outlineLevel="0" collapsed="false">
      <c r="B27" s="25" t="s">
        <v>121</v>
      </c>
    </row>
    <row r="28" customFormat="false" ht="15" hidden="false" customHeight="true" outlineLevel="0" collapsed="false">
      <c r="B28" s="26" t="s">
        <v>122</v>
      </c>
    </row>
    <row r="29" customFormat="false" ht="15" hidden="false" customHeight="true" outlineLevel="0" collapsed="false">
      <c r="B29" s="27" t="s">
        <v>123</v>
      </c>
    </row>
    <row r="31" customFormat="false" ht="15" hidden="false" customHeight="true" outlineLevel="0" collapsed="false">
      <c r="A31" s="22" t="s">
        <v>124</v>
      </c>
    </row>
    <row r="32" customFormat="false" ht="15" hidden="false" customHeight="true" outlineLevel="0" collapsed="false">
      <c r="B32" s="27" t="s">
        <v>12</v>
      </c>
      <c r="C32" s="27" t="n">
        <f aca="false">COUNTIF(D4:D22,"Protandrous")</f>
        <v>6</v>
      </c>
    </row>
    <row r="33" customFormat="false" ht="15" hidden="false" customHeight="true" outlineLevel="0" collapsed="false">
      <c r="B33" s="27" t="s">
        <v>49</v>
      </c>
      <c r="C33" s="27" t="n">
        <f aca="false">COUNTIF(D4:D22,"Protogynous")</f>
        <v>6</v>
      </c>
    </row>
    <row r="34" customFormat="false" ht="15" hidden="false" customHeight="true" outlineLevel="0" collapsed="false">
      <c r="B34" s="27" t="s">
        <v>88</v>
      </c>
      <c r="C34" s="27" t="n">
        <f aca="false">COUNTIF(D4:D22,"Rudimentary hermaphrodite")</f>
        <v>4</v>
      </c>
    </row>
    <row r="35" customFormat="false" ht="15" hidden="false" customHeight="true" outlineLevel="0" collapsed="false">
      <c r="B35" s="27" t="s">
        <v>106</v>
      </c>
      <c r="C35" s="27" t="n">
        <f aca="false">COUNTIF(D4:D22,"Gonochoristic")</f>
        <v>3</v>
      </c>
    </row>
    <row r="36" customFormat="false" ht="15" hidden="false" customHeight="true" outlineLevel="0" collapsed="false">
      <c r="B36" s="22" t="s">
        <v>125</v>
      </c>
      <c r="C36" s="22" t="n">
        <f aca="false">SUM(C32:C35)</f>
        <v>19</v>
      </c>
    </row>
    <row r="38" customFormat="false" ht="15" hidden="false" customHeight="true" outlineLevel="0" collapsed="false">
      <c r="A38" s="28" t="s">
        <v>126</v>
      </c>
    </row>
    <row r="39" customFormat="false" ht="15" hidden="false" customHeight="true" outlineLevel="0" collapsed="false">
      <c r="B39" s="27" t="s">
        <v>127</v>
      </c>
    </row>
    <row r="40" customFormat="false" ht="15" hidden="false" customHeight="true" outlineLevel="0" collapsed="false">
      <c r="B40" s="27" t="s">
        <v>128</v>
      </c>
    </row>
    <row r="41" customFormat="false" ht="15" hidden="false" customHeight="true" outlineLevel="0" collapsed="false">
      <c r="B41" s="27" t="s">
        <v>129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1"/>
    <col collapsed="false" customWidth="true" hidden="false" outlineLevel="0" max="3" min="3" style="1" width="17"/>
    <col collapsed="false" customWidth="true" hidden="false" outlineLevel="0" max="4" min="4" style="1" width="18"/>
    <col collapsed="false" customWidth="true" hidden="false" outlineLevel="0" max="6" min="5" style="1" width="26"/>
    <col collapsed="false" customWidth="true" hidden="false" outlineLevel="0" max="7" min="7" style="1" width="22"/>
    <col collapsed="false" customWidth="true" hidden="false" outlineLevel="0" max="8" min="8" style="1" width="28"/>
    <col collapsed="false" customWidth="true" hidden="false" outlineLevel="0" max="9" min="9" style="1" width="16"/>
    <col collapsed="false" customWidth="true" hidden="false" outlineLevel="0" max="10" min="10" style="1" width="40"/>
    <col collapsed="false" customWidth="true" hidden="false" outlineLevel="0" max="11" min="11" style="1" width="46"/>
  </cols>
  <sheetData>
    <row r="1" customFormat="false" ht="24" hidden="false" customHeight="true" outlineLevel="0" collapsed="false">
      <c r="A1" s="29" t="s">
        <v>130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customFormat="false" ht="103.5" hidden="false" customHeight="true" outlineLevel="0" collapsed="false">
      <c r="A2" s="30" t="s">
        <v>131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customFormat="false" ht="30" hidden="false" customHeight="true" outlineLevel="0" collapsed="false">
      <c r="A3" s="31" t="s">
        <v>2</v>
      </c>
      <c r="B3" s="31" t="s">
        <v>3</v>
      </c>
      <c r="C3" s="31" t="s">
        <v>4</v>
      </c>
      <c r="D3" s="31" t="s">
        <v>5</v>
      </c>
      <c r="E3" s="31" t="s">
        <v>132</v>
      </c>
      <c r="F3" s="31" t="s">
        <v>133</v>
      </c>
      <c r="G3" s="31" t="s">
        <v>134</v>
      </c>
      <c r="H3" s="31" t="s">
        <v>135</v>
      </c>
      <c r="I3" s="31" t="s">
        <v>136</v>
      </c>
      <c r="J3" s="31" t="s">
        <v>137</v>
      </c>
      <c r="K3" s="31" t="s">
        <v>138</v>
      </c>
    </row>
    <row r="4" customFormat="false" ht="34.5" hidden="false" customHeight="true" outlineLevel="0" collapsed="false">
      <c r="A4" s="32" t="s">
        <v>139</v>
      </c>
      <c r="B4" s="33" t="s">
        <v>10</v>
      </c>
      <c r="C4" s="33" t="s">
        <v>11</v>
      </c>
      <c r="D4" s="34" t="s">
        <v>12</v>
      </c>
      <c r="E4" s="32" t="s">
        <v>140</v>
      </c>
      <c r="F4" s="33" t="s">
        <v>141</v>
      </c>
      <c r="G4" s="33" t="s">
        <v>142</v>
      </c>
      <c r="H4" s="33" t="s">
        <v>143</v>
      </c>
      <c r="I4" s="33" t="s">
        <v>142</v>
      </c>
      <c r="J4" s="33" t="s">
        <v>144</v>
      </c>
      <c r="K4" s="33" t="s">
        <v>145</v>
      </c>
    </row>
    <row r="5" customFormat="false" ht="34.5" hidden="false" customHeight="true" outlineLevel="0" collapsed="false">
      <c r="A5" s="32" t="s">
        <v>146</v>
      </c>
      <c r="B5" s="33" t="s">
        <v>17</v>
      </c>
      <c r="C5" s="33" t="s">
        <v>18</v>
      </c>
      <c r="D5" s="34" t="s">
        <v>12</v>
      </c>
      <c r="E5" s="32" t="s">
        <v>147</v>
      </c>
      <c r="F5" s="33" t="s">
        <v>148</v>
      </c>
      <c r="G5" s="33" t="s">
        <v>149</v>
      </c>
      <c r="H5" s="33" t="s">
        <v>150</v>
      </c>
      <c r="I5" s="33" t="s">
        <v>151</v>
      </c>
      <c r="J5" s="33" t="s">
        <v>152</v>
      </c>
      <c r="K5" s="33" t="s">
        <v>153</v>
      </c>
    </row>
    <row r="6" customFormat="false" ht="45.75" hidden="false" customHeight="true" outlineLevel="0" collapsed="false">
      <c r="A6" s="32" t="s">
        <v>154</v>
      </c>
      <c r="B6" s="33" t="s">
        <v>23</v>
      </c>
      <c r="C6" s="33" t="s">
        <v>24</v>
      </c>
      <c r="D6" s="34" t="s">
        <v>12</v>
      </c>
      <c r="E6" s="32" t="s">
        <v>155</v>
      </c>
      <c r="F6" s="33" t="s">
        <v>156</v>
      </c>
      <c r="G6" s="33" t="s">
        <v>157</v>
      </c>
      <c r="H6" s="33" t="s">
        <v>158</v>
      </c>
      <c r="I6" s="33" t="s">
        <v>159</v>
      </c>
      <c r="J6" s="33" t="s">
        <v>160</v>
      </c>
      <c r="K6" s="33" t="s">
        <v>161</v>
      </c>
    </row>
    <row r="7" customFormat="false" ht="34.5" hidden="false" customHeight="true" outlineLevel="0" collapsed="false">
      <c r="A7" s="32" t="s">
        <v>162</v>
      </c>
      <c r="B7" s="33" t="s">
        <v>29</v>
      </c>
      <c r="C7" s="33" t="s">
        <v>30</v>
      </c>
      <c r="D7" s="34" t="s">
        <v>12</v>
      </c>
      <c r="E7" s="32" t="s">
        <v>163</v>
      </c>
      <c r="F7" s="33" t="s">
        <v>164</v>
      </c>
      <c r="G7" s="33" t="s">
        <v>165</v>
      </c>
      <c r="H7" s="33" t="s">
        <v>166</v>
      </c>
      <c r="I7" s="33" t="s">
        <v>167</v>
      </c>
      <c r="J7" s="33" t="s">
        <v>168</v>
      </c>
      <c r="K7" s="33" t="s">
        <v>169</v>
      </c>
    </row>
    <row r="8" customFormat="false" ht="34.5" hidden="false" customHeight="true" outlineLevel="0" collapsed="false">
      <c r="A8" s="32" t="s">
        <v>170</v>
      </c>
      <c r="B8" s="33" t="s">
        <v>35</v>
      </c>
      <c r="C8" s="33" t="s">
        <v>36</v>
      </c>
      <c r="D8" s="34" t="s">
        <v>12</v>
      </c>
      <c r="E8" s="32" t="s">
        <v>171</v>
      </c>
      <c r="F8" s="33" t="s">
        <v>172</v>
      </c>
      <c r="G8" s="33" t="s">
        <v>173</v>
      </c>
      <c r="H8" s="33" t="s">
        <v>174</v>
      </c>
      <c r="I8" s="33" t="s">
        <v>175</v>
      </c>
      <c r="J8" s="33" t="s">
        <v>176</v>
      </c>
      <c r="K8" s="33" t="s">
        <v>177</v>
      </c>
    </row>
    <row r="9" customFormat="false" ht="34.5" hidden="false" customHeight="true" outlineLevel="0" collapsed="false">
      <c r="A9" s="32" t="s">
        <v>178</v>
      </c>
      <c r="B9" s="33" t="s">
        <v>41</v>
      </c>
      <c r="C9" s="33" t="s">
        <v>42</v>
      </c>
      <c r="D9" s="34" t="s">
        <v>12</v>
      </c>
      <c r="E9" s="32" t="s">
        <v>179</v>
      </c>
      <c r="F9" s="33" t="s">
        <v>180</v>
      </c>
      <c r="G9" s="33" t="s">
        <v>181</v>
      </c>
      <c r="H9" s="33" t="s">
        <v>142</v>
      </c>
      <c r="I9" s="33" t="s">
        <v>182</v>
      </c>
      <c r="J9" s="33" t="s">
        <v>183</v>
      </c>
      <c r="K9" s="33" t="s">
        <v>184</v>
      </c>
    </row>
    <row r="10" customFormat="false" ht="23.25" hidden="false" customHeight="true" outlineLevel="0" collapsed="false">
      <c r="A10" s="35" t="s">
        <v>185</v>
      </c>
      <c r="B10" s="36" t="s">
        <v>47</v>
      </c>
      <c r="C10" s="36" t="s">
        <v>48</v>
      </c>
      <c r="D10" s="37" t="s">
        <v>49</v>
      </c>
      <c r="E10" s="35" t="s">
        <v>186</v>
      </c>
      <c r="F10" s="36" t="s">
        <v>187</v>
      </c>
      <c r="G10" s="36" t="s">
        <v>188</v>
      </c>
      <c r="H10" s="36" t="s">
        <v>142</v>
      </c>
      <c r="I10" s="36" t="s">
        <v>189</v>
      </c>
      <c r="J10" s="36" t="s">
        <v>190</v>
      </c>
      <c r="K10" s="36" t="s">
        <v>191</v>
      </c>
    </row>
    <row r="11" customFormat="false" ht="34.5" hidden="false" customHeight="true" outlineLevel="0" collapsed="false">
      <c r="A11" s="35" t="s">
        <v>192</v>
      </c>
      <c r="B11" s="36" t="s">
        <v>54</v>
      </c>
      <c r="C11" s="36" t="s">
        <v>55</v>
      </c>
      <c r="D11" s="37" t="s">
        <v>49</v>
      </c>
      <c r="E11" s="35" t="s">
        <v>193</v>
      </c>
      <c r="F11" s="36" t="s">
        <v>194</v>
      </c>
      <c r="G11" s="36" t="s">
        <v>195</v>
      </c>
      <c r="H11" s="36" t="s">
        <v>142</v>
      </c>
      <c r="I11" s="36" t="s">
        <v>196</v>
      </c>
      <c r="J11" s="36" t="s">
        <v>197</v>
      </c>
      <c r="K11" s="36" t="s">
        <v>198</v>
      </c>
    </row>
    <row r="12" customFormat="false" ht="23.25" hidden="false" customHeight="true" outlineLevel="0" collapsed="false">
      <c r="A12" s="35" t="s">
        <v>199</v>
      </c>
      <c r="B12" s="36" t="s">
        <v>60</v>
      </c>
      <c r="C12" s="36" t="s">
        <v>61</v>
      </c>
      <c r="D12" s="37" t="s">
        <v>49</v>
      </c>
      <c r="E12" s="35" t="s">
        <v>200</v>
      </c>
      <c r="F12" s="36" t="s">
        <v>201</v>
      </c>
      <c r="G12" s="36" t="s">
        <v>202</v>
      </c>
      <c r="H12" s="36" t="s">
        <v>142</v>
      </c>
      <c r="I12" s="36" t="s">
        <v>142</v>
      </c>
      <c r="J12" s="36" t="s">
        <v>203</v>
      </c>
      <c r="K12" s="36" t="s">
        <v>204</v>
      </c>
    </row>
    <row r="13" customFormat="false" ht="23.25" hidden="false" customHeight="true" outlineLevel="0" collapsed="false">
      <c r="A13" s="35" t="s">
        <v>205</v>
      </c>
      <c r="B13" s="36" t="s">
        <v>66</v>
      </c>
      <c r="C13" s="36" t="s">
        <v>67</v>
      </c>
      <c r="D13" s="37" t="s">
        <v>49</v>
      </c>
      <c r="E13" s="35" t="s">
        <v>206</v>
      </c>
      <c r="F13" s="36" t="s">
        <v>207</v>
      </c>
      <c r="G13" s="36" t="s">
        <v>208</v>
      </c>
      <c r="H13" s="36" t="s">
        <v>209</v>
      </c>
      <c r="I13" s="36" t="s">
        <v>210</v>
      </c>
      <c r="J13" s="36" t="s">
        <v>211</v>
      </c>
      <c r="K13" s="36" t="s">
        <v>212</v>
      </c>
    </row>
    <row r="14" customFormat="false" ht="34.5" hidden="false" customHeight="true" outlineLevel="0" collapsed="false">
      <c r="A14" s="35" t="s">
        <v>72</v>
      </c>
      <c r="B14" s="36" t="s">
        <v>73</v>
      </c>
      <c r="C14" s="36" t="s">
        <v>74</v>
      </c>
      <c r="D14" s="37" t="s">
        <v>49</v>
      </c>
      <c r="E14" s="35" t="s">
        <v>213</v>
      </c>
      <c r="F14" s="36" t="s">
        <v>214</v>
      </c>
      <c r="G14" s="36" t="s">
        <v>215</v>
      </c>
      <c r="H14" s="36" t="s">
        <v>216</v>
      </c>
      <c r="I14" s="36" t="s">
        <v>217</v>
      </c>
      <c r="J14" s="36" t="s">
        <v>218</v>
      </c>
      <c r="K14" s="36" t="s">
        <v>219</v>
      </c>
    </row>
    <row r="15" customFormat="false" ht="34.5" hidden="false" customHeight="true" outlineLevel="0" collapsed="false">
      <c r="A15" s="35" t="s">
        <v>79</v>
      </c>
      <c r="B15" s="36" t="s">
        <v>80</v>
      </c>
      <c r="C15" s="36" t="s">
        <v>81</v>
      </c>
      <c r="D15" s="37" t="s">
        <v>49</v>
      </c>
      <c r="E15" s="35" t="s">
        <v>220</v>
      </c>
      <c r="F15" s="36" t="s">
        <v>221</v>
      </c>
      <c r="G15" s="36" t="s">
        <v>222</v>
      </c>
      <c r="H15" s="36" t="s">
        <v>223</v>
      </c>
      <c r="I15" s="36" t="s">
        <v>224</v>
      </c>
      <c r="J15" s="36" t="s">
        <v>225</v>
      </c>
      <c r="K15" s="36" t="s">
        <v>226</v>
      </c>
    </row>
    <row r="16" customFormat="false" ht="23.25" hidden="false" customHeight="true" outlineLevel="0" collapsed="false">
      <c r="A16" s="38" t="s">
        <v>227</v>
      </c>
      <c r="B16" s="39" t="s">
        <v>86</v>
      </c>
      <c r="C16" s="39" t="s">
        <v>87</v>
      </c>
      <c r="D16" s="40" t="s">
        <v>88</v>
      </c>
      <c r="E16" s="38" t="s">
        <v>228</v>
      </c>
      <c r="F16" s="39" t="s">
        <v>229</v>
      </c>
      <c r="G16" s="39" t="s">
        <v>230</v>
      </c>
      <c r="H16" s="39" t="s">
        <v>231</v>
      </c>
      <c r="I16" s="39" t="s">
        <v>232</v>
      </c>
      <c r="J16" s="39" t="s">
        <v>233</v>
      </c>
      <c r="K16" s="39" t="s">
        <v>234</v>
      </c>
    </row>
    <row r="17" customFormat="false" ht="23.25" hidden="false" customHeight="true" outlineLevel="0" collapsed="false">
      <c r="A17" s="38" t="s">
        <v>235</v>
      </c>
      <c r="B17" s="39" t="s">
        <v>92</v>
      </c>
      <c r="C17" s="39" t="s">
        <v>93</v>
      </c>
      <c r="D17" s="40" t="s">
        <v>88</v>
      </c>
      <c r="E17" s="38" t="s">
        <v>236</v>
      </c>
      <c r="F17" s="39" t="s">
        <v>89</v>
      </c>
      <c r="G17" s="39" t="s">
        <v>237</v>
      </c>
      <c r="H17" s="39" t="s">
        <v>142</v>
      </c>
      <c r="I17" s="39" t="s">
        <v>238</v>
      </c>
      <c r="J17" s="39" t="s">
        <v>239</v>
      </c>
      <c r="K17" s="39" t="s">
        <v>240</v>
      </c>
    </row>
    <row r="18" customFormat="false" ht="23.25" hidden="false" customHeight="true" outlineLevel="0" collapsed="false">
      <c r="A18" s="38" t="s">
        <v>241</v>
      </c>
      <c r="B18" s="39" t="s">
        <v>96</v>
      </c>
      <c r="C18" s="39" t="s">
        <v>97</v>
      </c>
      <c r="D18" s="40" t="s">
        <v>88</v>
      </c>
      <c r="E18" s="38" t="s">
        <v>242</v>
      </c>
      <c r="F18" s="39" t="s">
        <v>89</v>
      </c>
      <c r="G18" s="39" t="s">
        <v>243</v>
      </c>
      <c r="H18" s="39" t="s">
        <v>142</v>
      </c>
      <c r="I18" s="39" t="s">
        <v>244</v>
      </c>
      <c r="J18" s="39" t="s">
        <v>245</v>
      </c>
      <c r="K18" s="39" t="s">
        <v>246</v>
      </c>
    </row>
    <row r="19" customFormat="false" ht="45.75" hidden="false" customHeight="true" outlineLevel="0" collapsed="false">
      <c r="A19" s="38" t="s">
        <v>247</v>
      </c>
      <c r="B19" s="39" t="s">
        <v>100</v>
      </c>
      <c r="C19" s="39" t="s">
        <v>101</v>
      </c>
      <c r="D19" s="40" t="s">
        <v>88</v>
      </c>
      <c r="E19" s="38" t="s">
        <v>248</v>
      </c>
      <c r="F19" s="39" t="s">
        <v>249</v>
      </c>
      <c r="G19" s="39" t="s">
        <v>250</v>
      </c>
      <c r="H19" s="39" t="s">
        <v>142</v>
      </c>
      <c r="I19" s="39" t="s">
        <v>251</v>
      </c>
      <c r="J19" s="39" t="s">
        <v>252</v>
      </c>
      <c r="K19" s="39" t="s">
        <v>253</v>
      </c>
    </row>
    <row r="20" customFormat="false" ht="23.25" hidden="false" customHeight="true" outlineLevel="0" collapsed="false">
      <c r="A20" s="41" t="s">
        <v>254</v>
      </c>
      <c r="B20" s="42" t="s">
        <v>104</v>
      </c>
      <c r="C20" s="42" t="s">
        <v>105</v>
      </c>
      <c r="D20" s="43" t="s">
        <v>106</v>
      </c>
      <c r="E20" s="41" t="s">
        <v>255</v>
      </c>
      <c r="F20" s="42" t="s">
        <v>89</v>
      </c>
      <c r="G20" s="42" t="s">
        <v>142</v>
      </c>
      <c r="H20" s="42" t="s">
        <v>256</v>
      </c>
      <c r="I20" s="42" t="s">
        <v>257</v>
      </c>
      <c r="J20" s="42" t="s">
        <v>258</v>
      </c>
      <c r="K20" s="42" t="s">
        <v>259</v>
      </c>
    </row>
    <row r="21" customFormat="false" ht="23.25" hidden="false" customHeight="true" outlineLevel="0" collapsed="false">
      <c r="A21" s="41" t="s">
        <v>260</v>
      </c>
      <c r="B21" s="42" t="s">
        <v>109</v>
      </c>
      <c r="C21" s="42" t="s">
        <v>110</v>
      </c>
      <c r="D21" s="43" t="s">
        <v>106</v>
      </c>
      <c r="E21" s="41" t="s">
        <v>261</v>
      </c>
      <c r="F21" s="42" t="s">
        <v>89</v>
      </c>
      <c r="G21" s="42" t="s">
        <v>262</v>
      </c>
      <c r="H21" s="42" t="s">
        <v>263</v>
      </c>
      <c r="I21" s="42" t="s">
        <v>264</v>
      </c>
      <c r="J21" s="42" t="s">
        <v>265</v>
      </c>
      <c r="K21" s="42" t="s">
        <v>266</v>
      </c>
    </row>
    <row r="22" customFormat="false" ht="23.25" hidden="false" customHeight="true" outlineLevel="0" collapsed="false">
      <c r="A22" s="41" t="s">
        <v>113</v>
      </c>
      <c r="B22" s="42" t="s">
        <v>114</v>
      </c>
      <c r="C22" s="42" t="s">
        <v>115</v>
      </c>
      <c r="D22" s="43" t="s">
        <v>106</v>
      </c>
      <c r="E22" s="41" t="s">
        <v>267</v>
      </c>
      <c r="F22" s="42" t="s">
        <v>268</v>
      </c>
      <c r="G22" s="42" t="s">
        <v>269</v>
      </c>
      <c r="H22" s="42" t="s">
        <v>270</v>
      </c>
      <c r="I22" s="42" t="s">
        <v>271</v>
      </c>
      <c r="J22" s="42" t="s">
        <v>272</v>
      </c>
      <c r="K22" s="42" t="s">
        <v>273</v>
      </c>
    </row>
    <row r="24" customFormat="false" ht="15" hidden="false" customHeight="true" outlineLevel="0" collapsed="false">
      <c r="A24" s="44" t="s">
        <v>274</v>
      </c>
    </row>
    <row r="25" customFormat="false" ht="15" hidden="false" customHeight="true" outlineLevel="0" collapsed="false">
      <c r="A25" s="45" t="s">
        <v>275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</row>
    <row r="26" customFormat="false" ht="15" hidden="false" customHeight="true" outlineLevel="0" collapsed="false">
      <c r="A26" s="45" t="s">
        <v>276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</row>
    <row r="27" customFormat="false" ht="15" hidden="false" customHeight="true" outlineLevel="0" collapsed="false">
      <c r="A27" s="45" t="s">
        <v>277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</row>
    <row r="28" customFormat="false" ht="15" hidden="false" customHeight="true" outlineLevel="0" collapsed="false">
      <c r="A28" s="45" t="s">
        <v>278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</row>
    <row r="29" customFormat="false" ht="15" hidden="false" customHeight="true" outlineLevel="0" collapsed="false">
      <c r="A29" s="45" t="s">
        <v>279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</row>
    <row r="30" customFormat="false" ht="15" hidden="false" customHeight="true" outlineLevel="0" collapsed="false">
      <c r="A30" s="45" t="s">
        <v>280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</row>
    <row r="31" customFormat="false" ht="15" hidden="false" customHeight="true" outlineLevel="0" collapsed="false">
      <c r="A31" s="45" t="s">
        <v>281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</row>
    <row r="32" customFormat="false" ht="15" hidden="false" customHeight="true" outlineLevel="0" collapsed="false">
      <c r="A32" s="45" t="s">
        <v>282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</row>
    <row r="33" customFormat="false" ht="15" hidden="false" customHeight="true" outlineLevel="0" collapsed="false">
      <c r="A33" s="45" t="s">
        <v>283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</row>
    <row r="34" customFormat="false" ht="15" hidden="false" customHeight="true" outlineLevel="0" collapsed="false">
      <c r="A34" s="45" t="s">
        <v>284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</row>
    <row r="35" customFormat="false" ht="15" hidden="false" customHeight="true" outlineLevel="0" collapsed="false">
      <c r="A35" s="45" t="s">
        <v>285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</row>
    <row r="36" customFormat="false" ht="15" hidden="false" customHeight="true" outlineLevel="0" collapsed="false">
      <c r="A36" s="45" t="s">
        <v>286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</row>
    <row r="37" customFormat="false" ht="15" hidden="false" customHeight="true" outlineLevel="0" collapsed="false">
      <c r="A37" s="45" t="s">
        <v>287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</row>
    <row r="38" customFormat="false" ht="15" hidden="false" customHeight="true" outlineLevel="0" collapsed="false">
      <c r="A38" s="45" t="s">
        <v>288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</row>
    <row r="39" customFormat="false" ht="15" hidden="false" customHeight="true" outlineLevel="0" collapsed="false">
      <c r="A39" s="45" t="s">
        <v>289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</row>
    <row r="40" customFormat="false" ht="15" hidden="false" customHeight="true" outlineLevel="0" collapsed="false">
      <c r="A40" s="45" t="s">
        <v>290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</row>
    <row r="41" customFormat="false" ht="15" hidden="false" customHeight="true" outlineLevel="0" collapsed="false">
      <c r="A41" s="45" t="s">
        <v>291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</row>
    <row r="42" customFormat="false" ht="15" hidden="false" customHeight="true" outlineLevel="0" collapsed="false">
      <c r="A42" s="45" t="s">
        <v>292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</row>
    <row r="43" customFormat="false" ht="15" hidden="false" customHeight="true" outlineLevel="0" collapsed="false">
      <c r="A43" s="45" t="s">
        <v>293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customFormat="false" ht="15" hidden="false" customHeight="true" outlineLevel="0" collapsed="false">
      <c r="A44" s="45" t="s">
        <v>294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</row>
    <row r="45" customFormat="false" ht="15" hidden="false" customHeight="true" outlineLevel="0" collapsed="false">
      <c r="A45" s="45" t="s">
        <v>295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</row>
    <row r="46" customFormat="false" ht="15" hidden="false" customHeight="true" outlineLevel="0" collapsed="false">
      <c r="A46" s="45" t="s">
        <v>296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</row>
    <row r="47" customFormat="false" ht="15" hidden="false" customHeight="true" outlineLevel="0" collapsed="false">
      <c r="A47" s="45" t="s">
        <v>297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</row>
    <row r="48" customFormat="false" ht="15" hidden="false" customHeight="true" outlineLevel="0" collapsed="false">
      <c r="A48" s="45" t="s">
        <v>298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</row>
    <row r="49" customFormat="false" ht="15" hidden="false" customHeight="true" outlineLevel="0" collapsed="false">
      <c r="A49" s="45" t="s">
        <v>299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</row>
    <row r="50" customFormat="false" ht="15" hidden="false" customHeight="true" outlineLevel="0" collapsed="false">
      <c r="A50" s="45" t="s">
        <v>300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</row>
    <row r="51" customFormat="false" ht="15" hidden="false" customHeight="true" outlineLevel="0" collapsed="false">
      <c r="A51" s="45" t="s">
        <v>301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</row>
    <row r="52" customFormat="false" ht="15" hidden="false" customHeight="true" outlineLevel="0" collapsed="false">
      <c r="A52" s="45" t="s">
        <v>302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</row>
    <row r="53" customFormat="false" ht="15" hidden="false" customHeight="true" outlineLevel="0" collapsed="false">
      <c r="A53" s="45" t="s">
        <v>303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</row>
    <row r="54" customFormat="false" ht="15" hidden="false" customHeight="true" outlineLevel="0" collapsed="false">
      <c r="A54" s="45" t="s">
        <v>304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</row>
    <row r="55" customFormat="false" ht="15" hidden="false" customHeight="true" outlineLevel="0" collapsed="false">
      <c r="A55" s="45" t="s">
        <v>305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</row>
    <row r="56" customFormat="false" ht="15" hidden="false" customHeight="true" outlineLevel="0" collapsed="false">
      <c r="A56" s="45" t="s">
        <v>306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</row>
    <row r="57" customFormat="false" ht="15" hidden="false" customHeight="true" outlineLevel="0" collapsed="false">
      <c r="A57" s="45" t="s">
        <v>307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</row>
    <row r="58" customFormat="false" ht="15" hidden="false" customHeight="true" outlineLevel="0" collapsed="false">
      <c r="A58" s="45" t="s">
        <v>308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</row>
    <row r="59" customFormat="false" ht="15" hidden="false" customHeight="true" outlineLevel="0" collapsed="false">
      <c r="A59" s="45" t="s">
        <v>309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</row>
    <row r="60" customFormat="false" ht="15" hidden="false" customHeight="true" outlineLevel="0" collapsed="false">
      <c r="A60" s="45" t="s">
        <v>310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</row>
    <row r="61" customFormat="false" ht="15" hidden="false" customHeight="true" outlineLevel="0" collapsed="false">
      <c r="A61" s="45" t="s">
        <v>311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</row>
    <row r="62" customFormat="false" ht="15" hidden="false" customHeight="true" outlineLevel="0" collapsed="false">
      <c r="A62" s="45" t="s">
        <v>312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</row>
    <row r="63" customFormat="false" ht="15" hidden="false" customHeight="true" outlineLevel="0" collapsed="false">
      <c r="A63" s="45" t="s">
        <v>313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</row>
  </sheetData>
  <mergeCells count="41">
    <mergeCell ref="A1:K1"/>
    <mergeCell ref="A2:K2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A37:K37"/>
    <mergeCell ref="A38:K38"/>
    <mergeCell ref="A39:K39"/>
    <mergeCell ref="A40:K40"/>
    <mergeCell ref="A41:K41"/>
    <mergeCell ref="A42:K42"/>
    <mergeCell ref="A43:K43"/>
    <mergeCell ref="A44:K44"/>
    <mergeCell ref="A45:K45"/>
    <mergeCell ref="A46:K46"/>
    <mergeCell ref="A47:K47"/>
    <mergeCell ref="A48:K48"/>
    <mergeCell ref="A49:K49"/>
    <mergeCell ref="A50:K50"/>
    <mergeCell ref="A51:K51"/>
    <mergeCell ref="A52:K52"/>
    <mergeCell ref="A53:K53"/>
    <mergeCell ref="A54:K54"/>
    <mergeCell ref="A55:K55"/>
    <mergeCell ref="A56:K56"/>
    <mergeCell ref="A57:K57"/>
    <mergeCell ref="A58:K58"/>
    <mergeCell ref="A59:K59"/>
    <mergeCell ref="A60:K60"/>
    <mergeCell ref="A61:K61"/>
    <mergeCell ref="A62:K62"/>
    <mergeCell ref="A63:K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1"/>
    <col collapsed="false" customWidth="true" hidden="false" outlineLevel="0" max="3" min="3" style="1" width="17"/>
    <col collapsed="false" customWidth="true" hidden="false" outlineLevel="0" max="4" min="4" style="1" width="18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8" min="8" style="1" width="16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2" min="12" style="1" width="8"/>
    <col collapsed="false" customWidth="true" hidden="false" outlineLevel="0" max="13" min="13" style="1" width="7"/>
    <col collapsed="false" customWidth="true" hidden="false" outlineLevel="0" max="14" min="14" style="1" width="40"/>
    <col collapsed="false" customWidth="true" hidden="false" outlineLevel="0" max="15" min="15" style="1" width="34"/>
    <col collapsed="false" customWidth="true" hidden="false" outlineLevel="0" max="16" min="16" style="1" width="50"/>
  </cols>
  <sheetData>
    <row r="1" customFormat="false" ht="24" hidden="false" customHeight="true" outlineLevel="0" collapsed="false">
      <c r="A1" s="29" t="s">
        <v>314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customFormat="false" ht="169.5" hidden="false" customHeight="true" outlineLevel="0" collapsed="false">
      <c r="A2" s="30" t="s">
        <v>315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customFormat="false" ht="42" hidden="false" customHeight="true" outlineLevel="0" collapsed="false">
      <c r="A3" s="46" t="s">
        <v>2</v>
      </c>
      <c r="B3" s="46" t="s">
        <v>3</v>
      </c>
      <c r="C3" s="46" t="s">
        <v>4</v>
      </c>
      <c r="D3" s="46" t="s">
        <v>316</v>
      </c>
      <c r="E3" s="46" t="s">
        <v>317</v>
      </c>
      <c r="F3" s="46" t="s">
        <v>318</v>
      </c>
      <c r="G3" s="46" t="s">
        <v>319</v>
      </c>
      <c r="H3" s="46" t="s">
        <v>320</v>
      </c>
      <c r="I3" s="46" t="s">
        <v>321</v>
      </c>
      <c r="J3" s="46" t="s">
        <v>322</v>
      </c>
      <c r="K3" s="46" t="s">
        <v>323</v>
      </c>
      <c r="L3" s="47" t="s">
        <v>324</v>
      </c>
      <c r="M3" s="46" t="s">
        <v>325</v>
      </c>
      <c r="N3" s="46" t="s">
        <v>326</v>
      </c>
      <c r="O3" s="47" t="s">
        <v>327</v>
      </c>
      <c r="P3" s="46" t="s">
        <v>328</v>
      </c>
    </row>
    <row r="4" customFormat="false" ht="21.75" hidden="false" customHeight="true" outlineLevel="0" collapsed="false">
      <c r="A4" s="32" t="s">
        <v>139</v>
      </c>
      <c r="B4" s="33" t="s">
        <v>10</v>
      </c>
      <c r="C4" s="33" t="s">
        <v>11</v>
      </c>
      <c r="D4" s="34" t="s">
        <v>329</v>
      </c>
      <c r="E4" s="48" t="n">
        <v>30</v>
      </c>
      <c r="F4" s="48" t="n">
        <f aca="false">ROUND(1.1*E4,1)</f>
        <v>33</v>
      </c>
      <c r="G4" s="48" t="n">
        <v>20</v>
      </c>
      <c r="H4" s="48" t="n">
        <f aca="false">ROUND(1.2*G4,1)</f>
        <v>24</v>
      </c>
      <c r="I4" s="49" t="n">
        <v>39.4</v>
      </c>
      <c r="J4" s="49" t="n">
        <v>0.16</v>
      </c>
      <c r="K4" s="49" t="n">
        <v>0.25</v>
      </c>
      <c r="L4" s="50" t="n">
        <v>1.56</v>
      </c>
      <c r="M4" s="48" t="n">
        <v>3</v>
      </c>
      <c r="N4" s="51" t="s">
        <v>330</v>
      </c>
      <c r="O4" s="52" t="s">
        <v>331</v>
      </c>
      <c r="P4" s="51" t="s">
        <v>332</v>
      </c>
    </row>
    <row r="5" customFormat="false" ht="21.75" hidden="false" customHeight="true" outlineLevel="0" collapsed="false">
      <c r="A5" s="32" t="s">
        <v>146</v>
      </c>
      <c r="B5" s="33" t="s">
        <v>17</v>
      </c>
      <c r="C5" s="33" t="s">
        <v>18</v>
      </c>
      <c r="D5" s="34" t="s">
        <v>329</v>
      </c>
      <c r="E5" s="48" t="n">
        <v>23.5</v>
      </c>
      <c r="F5" s="48" t="n">
        <f aca="false">ROUND(1.1*E5,1)</f>
        <v>25.9</v>
      </c>
      <c r="G5" s="48" t="n">
        <v>20</v>
      </c>
      <c r="H5" s="48" t="n">
        <f aca="false">ROUND(1.2*G5,1)</f>
        <v>24</v>
      </c>
      <c r="I5" s="49" t="n">
        <v>36.3</v>
      </c>
      <c r="J5" s="49" t="n">
        <v>0.154</v>
      </c>
      <c r="K5" s="49" t="s">
        <v>333</v>
      </c>
      <c r="L5" s="50" t="n">
        <v>1.49</v>
      </c>
      <c r="M5" s="48" t="n">
        <v>3</v>
      </c>
      <c r="N5" s="51" t="s">
        <v>334</v>
      </c>
      <c r="O5" s="52" t="s">
        <v>335</v>
      </c>
      <c r="P5" s="51" t="s">
        <v>336</v>
      </c>
    </row>
    <row r="6" customFormat="false" ht="21.75" hidden="false" customHeight="true" outlineLevel="0" collapsed="false">
      <c r="A6" s="32" t="s">
        <v>154</v>
      </c>
      <c r="B6" s="33" t="s">
        <v>23</v>
      </c>
      <c r="C6" s="33" t="s">
        <v>24</v>
      </c>
      <c r="D6" s="34" t="s">
        <v>329</v>
      </c>
      <c r="E6" s="48" t="n">
        <v>34</v>
      </c>
      <c r="F6" s="48" t="n">
        <f aca="false">ROUND(1.1*E6,1)</f>
        <v>37.4</v>
      </c>
      <c r="G6" s="48" t="n">
        <v>24.5</v>
      </c>
      <c r="H6" s="48" t="n">
        <f aca="false">ROUND(1.2*G6,1)</f>
        <v>29.4</v>
      </c>
      <c r="I6" s="49" t="n">
        <v>45.1</v>
      </c>
      <c r="J6" s="49" t="n">
        <v>0.14</v>
      </c>
      <c r="K6" s="49" t="s">
        <v>337</v>
      </c>
      <c r="L6" s="50" t="n">
        <v>1.5</v>
      </c>
      <c r="M6" s="48" t="n">
        <v>3</v>
      </c>
      <c r="N6" s="51" t="s">
        <v>338</v>
      </c>
      <c r="O6" s="52" t="s">
        <v>339</v>
      </c>
      <c r="P6" s="51" t="s">
        <v>340</v>
      </c>
    </row>
    <row r="7" customFormat="false" ht="21.75" hidden="false" customHeight="true" outlineLevel="0" collapsed="false">
      <c r="A7" s="32" t="s">
        <v>162</v>
      </c>
      <c r="B7" s="33" t="s">
        <v>29</v>
      </c>
      <c r="C7" s="33" t="s">
        <v>30</v>
      </c>
      <c r="D7" s="34" t="s">
        <v>329</v>
      </c>
      <c r="E7" s="48" t="n">
        <v>28</v>
      </c>
      <c r="F7" s="48" t="n">
        <f aca="false">ROUND(1.1*E7,1)</f>
        <v>30.8</v>
      </c>
      <c r="G7" s="48" t="n">
        <v>18</v>
      </c>
      <c r="H7" s="48" t="n">
        <f aca="false">ROUND(1.2*G7,1)</f>
        <v>21.6</v>
      </c>
      <c r="I7" s="49" t="n">
        <v>31.7</v>
      </c>
      <c r="J7" s="49" t="n">
        <v>0.21</v>
      </c>
      <c r="K7" s="49" t="n">
        <v>0.3</v>
      </c>
      <c r="L7" s="50" t="n">
        <v>1.43</v>
      </c>
      <c r="M7" s="48" t="n">
        <v>3</v>
      </c>
      <c r="N7" s="51" t="s">
        <v>341</v>
      </c>
      <c r="O7" s="52" t="s">
        <v>342</v>
      </c>
      <c r="P7" s="51" t="s">
        <v>343</v>
      </c>
    </row>
    <row r="8" customFormat="false" ht="21.75" hidden="false" customHeight="true" outlineLevel="0" collapsed="false">
      <c r="A8" s="32" t="s">
        <v>170</v>
      </c>
      <c r="B8" s="33" t="s">
        <v>35</v>
      </c>
      <c r="C8" s="33" t="s">
        <v>36</v>
      </c>
      <c r="D8" s="34" t="s">
        <v>329</v>
      </c>
      <c r="E8" s="48" t="n">
        <v>33</v>
      </c>
      <c r="F8" s="48" t="n">
        <f aca="false">ROUND(1.1*E8,1)</f>
        <v>36.3</v>
      </c>
      <c r="G8" s="48" t="n">
        <v>30.1</v>
      </c>
      <c r="H8" s="48" t="n">
        <f aca="false">ROUND(1.2*G8,1)</f>
        <v>36.1</v>
      </c>
      <c r="I8" s="49" t="n">
        <v>52.3</v>
      </c>
      <c r="J8" s="49" t="n">
        <v>0.15</v>
      </c>
      <c r="K8" s="49" t="s">
        <v>337</v>
      </c>
      <c r="L8" s="50" t="n">
        <v>1.4</v>
      </c>
      <c r="M8" s="48" t="n">
        <v>3</v>
      </c>
      <c r="N8" s="51" t="s">
        <v>344</v>
      </c>
      <c r="O8" s="52" t="s">
        <v>345</v>
      </c>
      <c r="P8" s="51" t="s">
        <v>346</v>
      </c>
    </row>
    <row r="9" customFormat="false" ht="21.75" hidden="false" customHeight="true" outlineLevel="0" collapsed="false">
      <c r="A9" s="32" t="s">
        <v>178</v>
      </c>
      <c r="B9" s="33" t="s">
        <v>41</v>
      </c>
      <c r="C9" s="33" t="s">
        <v>42</v>
      </c>
      <c r="D9" s="34" t="s">
        <v>329</v>
      </c>
      <c r="E9" s="48" t="n">
        <v>27</v>
      </c>
      <c r="F9" s="48" t="n">
        <f aca="false">ROUND(1.1*E9,1)</f>
        <v>29.7</v>
      </c>
      <c r="G9" s="48" t="n">
        <v>20.7</v>
      </c>
      <c r="H9" s="48" t="n">
        <f aca="false">ROUND(1.2*G9,1)</f>
        <v>24.8</v>
      </c>
      <c r="I9" s="49" t="n">
        <v>35.3</v>
      </c>
      <c r="J9" s="49" t="n">
        <v>0.264</v>
      </c>
      <c r="K9" s="49" t="n">
        <v>0.356</v>
      </c>
      <c r="L9" s="50" t="n">
        <v>1.35</v>
      </c>
      <c r="M9" s="48" t="n">
        <v>3</v>
      </c>
      <c r="N9" s="51" t="s">
        <v>347</v>
      </c>
      <c r="O9" s="52" t="s">
        <v>348</v>
      </c>
      <c r="P9" s="51" t="s">
        <v>349</v>
      </c>
    </row>
    <row r="10" customFormat="false" ht="21.75" hidden="false" customHeight="true" outlineLevel="0" collapsed="false">
      <c r="A10" s="35" t="s">
        <v>185</v>
      </c>
      <c r="B10" s="36" t="s">
        <v>47</v>
      </c>
      <c r="C10" s="36" t="s">
        <v>48</v>
      </c>
      <c r="D10" s="37" t="s">
        <v>350</v>
      </c>
      <c r="E10" s="53" t="n">
        <v>17.5</v>
      </c>
      <c r="F10" s="53" t="n">
        <f aca="false">ROUND(1.1*E10,1)</f>
        <v>19.3</v>
      </c>
      <c r="G10" s="53" t="n">
        <v>14.6</v>
      </c>
      <c r="H10" s="53" t="n">
        <f aca="false">ROUND(1.2*G10,1)</f>
        <v>17.5</v>
      </c>
      <c r="I10" s="54" t="n">
        <v>41.8</v>
      </c>
      <c r="J10" s="54" t="n">
        <v>0.205</v>
      </c>
      <c r="K10" s="54" t="n">
        <v>0.3</v>
      </c>
      <c r="L10" s="55" t="n">
        <v>1.46</v>
      </c>
      <c r="M10" s="53" t="n">
        <v>3</v>
      </c>
      <c r="N10" s="56" t="s">
        <v>351</v>
      </c>
      <c r="O10" s="57" t="s">
        <v>352</v>
      </c>
      <c r="P10" s="56" t="s">
        <v>353</v>
      </c>
    </row>
    <row r="11" customFormat="false" ht="21.75" hidden="false" customHeight="true" outlineLevel="0" collapsed="false">
      <c r="A11" s="35" t="s">
        <v>192</v>
      </c>
      <c r="B11" s="36" t="s">
        <v>54</v>
      </c>
      <c r="C11" s="36" t="s">
        <v>55</v>
      </c>
      <c r="D11" s="37" t="s">
        <v>350</v>
      </c>
      <c r="E11" s="53" t="n">
        <v>28</v>
      </c>
      <c r="F11" s="53" t="n">
        <f aca="false">ROUND(1.1*E11,1)</f>
        <v>30.8</v>
      </c>
      <c r="G11" s="53" t="n">
        <v>22.6</v>
      </c>
      <c r="H11" s="53" t="n">
        <f aca="false">ROUND(1.2*G11,1)</f>
        <v>27.1</v>
      </c>
      <c r="I11" s="54" t="n">
        <v>51.5</v>
      </c>
      <c r="J11" s="54" t="n">
        <v>0.18</v>
      </c>
      <c r="K11" s="54" t="s">
        <v>354</v>
      </c>
      <c r="L11" s="55" t="n">
        <v>1.5</v>
      </c>
      <c r="M11" s="53" t="n">
        <v>3</v>
      </c>
      <c r="N11" s="56" t="s">
        <v>355</v>
      </c>
      <c r="O11" s="57" t="s">
        <v>356</v>
      </c>
      <c r="P11" s="56" t="s">
        <v>357</v>
      </c>
    </row>
    <row r="12" customFormat="false" ht="23.25" hidden="false" customHeight="true" outlineLevel="0" collapsed="false">
      <c r="A12" s="35" t="s">
        <v>199</v>
      </c>
      <c r="B12" s="36" t="s">
        <v>60</v>
      </c>
      <c r="C12" s="36" t="s">
        <v>61</v>
      </c>
      <c r="D12" s="37" t="s">
        <v>350</v>
      </c>
      <c r="E12" s="53" t="n">
        <v>45</v>
      </c>
      <c r="F12" s="53" t="n">
        <f aca="false">ROUND(1.1*E12,1)</f>
        <v>49.5</v>
      </c>
      <c r="G12" s="53" t="n">
        <v>38.7</v>
      </c>
      <c r="H12" s="53" t="n">
        <f aca="false">ROUND(1.2*G12,1)</f>
        <v>46.4</v>
      </c>
      <c r="I12" s="54" t="n">
        <v>80.3</v>
      </c>
      <c r="J12" s="54" t="n">
        <v>0.081</v>
      </c>
      <c r="K12" s="54" t="n">
        <v>0.164</v>
      </c>
      <c r="L12" s="55" t="n">
        <v>2.02</v>
      </c>
      <c r="M12" s="53" t="n">
        <v>3</v>
      </c>
      <c r="N12" s="56" t="s">
        <v>358</v>
      </c>
      <c r="O12" s="57" t="s">
        <v>359</v>
      </c>
      <c r="P12" s="56" t="s">
        <v>360</v>
      </c>
    </row>
    <row r="13" customFormat="false" ht="32.25" hidden="false" customHeight="true" outlineLevel="0" collapsed="false">
      <c r="A13" s="35" t="s">
        <v>205</v>
      </c>
      <c r="B13" s="36" t="s">
        <v>66</v>
      </c>
      <c r="C13" s="36" t="s">
        <v>67</v>
      </c>
      <c r="D13" s="37" t="s">
        <v>350</v>
      </c>
      <c r="E13" s="53" t="n">
        <v>25</v>
      </c>
      <c r="F13" s="53" t="n">
        <f aca="false">ROUND(1.1*E13,1)</f>
        <v>27.5</v>
      </c>
      <c r="G13" s="53" t="n">
        <v>18.4</v>
      </c>
      <c r="H13" s="53" t="n">
        <f aca="false">ROUND(1.2*G13,1)</f>
        <v>22.1</v>
      </c>
      <c r="I13" s="54" t="n">
        <v>33.2</v>
      </c>
      <c r="J13" s="54" t="n">
        <v>0.21</v>
      </c>
      <c r="K13" s="54" t="n">
        <v>0.47</v>
      </c>
      <c r="L13" s="55" t="n">
        <v>2.24</v>
      </c>
      <c r="M13" s="53" t="n">
        <v>3</v>
      </c>
      <c r="N13" s="56" t="s">
        <v>361</v>
      </c>
      <c r="O13" s="57" t="s">
        <v>362</v>
      </c>
      <c r="P13" s="56" t="s">
        <v>363</v>
      </c>
    </row>
    <row r="14" customFormat="false" ht="21.75" hidden="false" customHeight="true" outlineLevel="0" collapsed="false">
      <c r="A14" s="35" t="s">
        <v>72</v>
      </c>
      <c r="B14" s="36" t="s">
        <v>73</v>
      </c>
      <c r="C14" s="36" t="s">
        <v>74</v>
      </c>
      <c r="D14" s="37" t="s">
        <v>350</v>
      </c>
      <c r="E14" s="53" t="n">
        <v>37</v>
      </c>
      <c r="F14" s="53" t="n">
        <f aca="false">ROUND(1.1*E14,1)</f>
        <v>40.7</v>
      </c>
      <c r="G14" s="53" t="n">
        <v>34.7</v>
      </c>
      <c r="H14" s="53" t="n">
        <f aca="false">ROUND(1.2*G14,1)</f>
        <v>41.6</v>
      </c>
      <c r="I14" s="54" t="n">
        <v>101.2</v>
      </c>
      <c r="J14" s="54" t="n">
        <v>0.149</v>
      </c>
      <c r="K14" s="54" t="n">
        <v>0.28</v>
      </c>
      <c r="L14" s="55" t="n">
        <v>1.88</v>
      </c>
      <c r="M14" s="53" t="n">
        <v>3</v>
      </c>
      <c r="N14" s="56" t="s">
        <v>364</v>
      </c>
      <c r="O14" s="57" t="s">
        <v>365</v>
      </c>
      <c r="P14" s="56" t="s">
        <v>366</v>
      </c>
    </row>
    <row r="15" customFormat="false" ht="32.25" hidden="false" customHeight="true" outlineLevel="0" collapsed="false">
      <c r="A15" s="35" t="s">
        <v>79</v>
      </c>
      <c r="B15" s="36" t="s">
        <v>80</v>
      </c>
      <c r="C15" s="36" t="s">
        <v>81</v>
      </c>
      <c r="D15" s="37" t="s">
        <v>350</v>
      </c>
      <c r="E15" s="53" t="n">
        <v>30</v>
      </c>
      <c r="F15" s="53" t="n">
        <f aca="false">ROUND(1.1*E15,1)</f>
        <v>33</v>
      </c>
      <c r="G15" s="53" t="n">
        <v>27</v>
      </c>
      <c r="H15" s="53" t="n">
        <f aca="false">ROUND(1.2*G15,1)</f>
        <v>32.4</v>
      </c>
      <c r="I15" s="54" t="n">
        <v>52.7</v>
      </c>
      <c r="J15" s="54" t="n">
        <v>0.52</v>
      </c>
      <c r="K15" s="54" t="n">
        <v>0.83</v>
      </c>
      <c r="L15" s="55" t="n">
        <v>1.6</v>
      </c>
      <c r="M15" s="53" t="n">
        <v>3</v>
      </c>
      <c r="N15" s="56" t="s">
        <v>367</v>
      </c>
      <c r="O15" s="57" t="s">
        <v>368</v>
      </c>
      <c r="P15" s="56" t="s">
        <v>369</v>
      </c>
    </row>
    <row r="16" customFormat="false" ht="23.25" hidden="false" customHeight="true" outlineLevel="0" collapsed="false">
      <c r="A16" s="38" t="s">
        <v>227</v>
      </c>
      <c r="B16" s="39" t="s">
        <v>86</v>
      </c>
      <c r="C16" s="39" t="s">
        <v>87</v>
      </c>
      <c r="D16" s="40" t="s">
        <v>370</v>
      </c>
      <c r="E16" s="58" t="s">
        <v>371</v>
      </c>
      <c r="F16" s="58" t="s">
        <v>371</v>
      </c>
      <c r="G16" s="59" t="n">
        <v>18.3</v>
      </c>
      <c r="H16" s="59" t="n">
        <f aca="false">ROUND(1.2*G16,1)</f>
        <v>22</v>
      </c>
      <c r="I16" s="60" t="n">
        <v>30.7</v>
      </c>
      <c r="J16" s="60" t="n">
        <v>0.2</v>
      </c>
      <c r="K16" s="60" t="n">
        <v>0.47</v>
      </c>
      <c r="L16" s="61" t="n">
        <v>2.35</v>
      </c>
      <c r="M16" s="59" t="n">
        <v>3</v>
      </c>
      <c r="N16" s="62" t="s">
        <v>372</v>
      </c>
      <c r="O16" s="63" t="s">
        <v>373</v>
      </c>
      <c r="P16" s="62" t="s">
        <v>374</v>
      </c>
    </row>
    <row r="17" customFormat="false" ht="21.75" hidden="false" customHeight="true" outlineLevel="0" collapsed="false">
      <c r="A17" s="38" t="s">
        <v>235</v>
      </c>
      <c r="B17" s="39" t="s">
        <v>92</v>
      </c>
      <c r="C17" s="39" t="s">
        <v>93</v>
      </c>
      <c r="D17" s="40" t="s">
        <v>370</v>
      </c>
      <c r="E17" s="58" t="s">
        <v>371</v>
      </c>
      <c r="F17" s="58" t="s">
        <v>371</v>
      </c>
      <c r="G17" s="59" t="n">
        <v>10.5</v>
      </c>
      <c r="H17" s="59" t="n">
        <f aca="false">ROUND(1.2*G17,1)</f>
        <v>12.6</v>
      </c>
      <c r="I17" s="60" t="n">
        <v>24.8</v>
      </c>
      <c r="J17" s="60" t="n">
        <v>0.268</v>
      </c>
      <c r="K17" s="60" t="s">
        <v>375</v>
      </c>
      <c r="L17" s="61" t="n">
        <v>1.46</v>
      </c>
      <c r="M17" s="59" t="n">
        <v>3</v>
      </c>
      <c r="N17" s="62" t="s">
        <v>376</v>
      </c>
      <c r="O17" s="63" t="s">
        <v>377</v>
      </c>
      <c r="P17" s="62" t="s">
        <v>378</v>
      </c>
    </row>
    <row r="18" customFormat="false" ht="23.25" hidden="false" customHeight="true" outlineLevel="0" collapsed="false">
      <c r="A18" s="38" t="s">
        <v>241</v>
      </c>
      <c r="B18" s="39" t="s">
        <v>96</v>
      </c>
      <c r="C18" s="39" t="s">
        <v>97</v>
      </c>
      <c r="D18" s="40" t="s">
        <v>370</v>
      </c>
      <c r="E18" s="58" t="s">
        <v>371</v>
      </c>
      <c r="F18" s="58" t="s">
        <v>371</v>
      </c>
      <c r="G18" s="59" t="n">
        <v>28.5</v>
      </c>
      <c r="H18" s="59" t="n">
        <f aca="false">ROUND(1.2*G18,1)</f>
        <v>34.2</v>
      </c>
      <c r="I18" s="60" t="n">
        <v>48.1</v>
      </c>
      <c r="J18" s="60" t="n">
        <v>0.27</v>
      </c>
      <c r="K18" s="60" t="n">
        <v>0.5</v>
      </c>
      <c r="L18" s="61" t="n">
        <v>1.85</v>
      </c>
      <c r="M18" s="59" t="n">
        <v>3</v>
      </c>
      <c r="N18" s="62" t="s">
        <v>379</v>
      </c>
      <c r="O18" s="63" t="s">
        <v>380</v>
      </c>
      <c r="P18" s="62" t="s">
        <v>381</v>
      </c>
    </row>
    <row r="19" customFormat="false" ht="42.75" hidden="false" customHeight="true" outlineLevel="0" collapsed="false">
      <c r="A19" s="38" t="s">
        <v>247</v>
      </c>
      <c r="B19" s="39" t="s">
        <v>100</v>
      </c>
      <c r="C19" s="39" t="s">
        <v>101</v>
      </c>
      <c r="D19" s="40" t="s">
        <v>370</v>
      </c>
      <c r="E19" s="58" t="s">
        <v>371</v>
      </c>
      <c r="F19" s="58" t="s">
        <v>371</v>
      </c>
      <c r="G19" s="59" t="n">
        <v>27.3</v>
      </c>
      <c r="H19" s="59" t="n">
        <f aca="false">ROUND(1.2*G19,1)</f>
        <v>32.8</v>
      </c>
      <c r="I19" s="60" t="n">
        <v>60.3</v>
      </c>
      <c r="J19" s="60" t="n">
        <v>0.149</v>
      </c>
      <c r="K19" s="60" t="n">
        <v>0.215</v>
      </c>
      <c r="L19" s="61" t="n">
        <v>1.44</v>
      </c>
      <c r="M19" s="59" t="n">
        <v>3</v>
      </c>
      <c r="N19" s="62" t="s">
        <v>382</v>
      </c>
      <c r="O19" s="63" t="s">
        <v>383</v>
      </c>
      <c r="P19" s="62" t="s">
        <v>384</v>
      </c>
    </row>
    <row r="20" customFormat="false" ht="21.75" hidden="false" customHeight="true" outlineLevel="0" collapsed="false">
      <c r="A20" s="41" t="s">
        <v>254</v>
      </c>
      <c r="B20" s="42" t="s">
        <v>104</v>
      </c>
      <c r="C20" s="42" t="s">
        <v>105</v>
      </c>
      <c r="D20" s="43" t="s">
        <v>385</v>
      </c>
      <c r="E20" s="64" t="s">
        <v>371</v>
      </c>
      <c r="F20" s="64" t="s">
        <v>371</v>
      </c>
      <c r="G20" s="65" t="n">
        <v>13</v>
      </c>
      <c r="H20" s="65" t="n">
        <f aca="false">ROUND(1.2*G20,1)</f>
        <v>15.6</v>
      </c>
      <c r="I20" s="66" t="n">
        <v>30</v>
      </c>
      <c r="J20" s="66" t="n">
        <v>0.117</v>
      </c>
      <c r="K20" s="66" t="n">
        <v>0.24</v>
      </c>
      <c r="L20" s="67" t="n">
        <v>2.05</v>
      </c>
      <c r="M20" s="65" t="n">
        <v>3</v>
      </c>
      <c r="N20" s="68" t="s">
        <v>386</v>
      </c>
      <c r="O20" s="69" t="s">
        <v>387</v>
      </c>
      <c r="P20" s="68" t="s">
        <v>388</v>
      </c>
    </row>
    <row r="21" customFormat="false" ht="15" hidden="false" customHeight="true" outlineLevel="0" collapsed="false">
      <c r="A21" s="41" t="s">
        <v>260</v>
      </c>
      <c r="B21" s="42" t="s">
        <v>109</v>
      </c>
      <c r="C21" s="42" t="s">
        <v>110</v>
      </c>
      <c r="D21" s="43" t="s">
        <v>385</v>
      </c>
      <c r="E21" s="64" t="s">
        <v>371</v>
      </c>
      <c r="F21" s="64" t="s">
        <v>371</v>
      </c>
      <c r="G21" s="65" t="n">
        <v>17.5</v>
      </c>
      <c r="H21" s="65" t="n">
        <f aca="false">ROUND(1.2*G21,1)</f>
        <v>21</v>
      </c>
      <c r="I21" s="66" t="n">
        <v>29.9</v>
      </c>
      <c r="J21" s="66" t="n">
        <v>0.27</v>
      </c>
      <c r="K21" s="66" t="n">
        <v>0.58</v>
      </c>
      <c r="L21" s="67" t="n">
        <v>2.15</v>
      </c>
      <c r="M21" s="65" t="n">
        <v>3</v>
      </c>
      <c r="N21" s="68" t="s">
        <v>389</v>
      </c>
      <c r="O21" s="69" t="s">
        <v>390</v>
      </c>
      <c r="P21" s="68" t="s">
        <v>391</v>
      </c>
    </row>
    <row r="22" customFormat="false" ht="21.75" hidden="false" customHeight="true" outlineLevel="0" collapsed="false">
      <c r="A22" s="41" t="s">
        <v>113</v>
      </c>
      <c r="B22" s="42" t="s">
        <v>114</v>
      </c>
      <c r="C22" s="42" t="s">
        <v>115</v>
      </c>
      <c r="D22" s="43" t="s">
        <v>385</v>
      </c>
      <c r="E22" s="64" t="s">
        <v>371</v>
      </c>
      <c r="F22" s="64" t="s">
        <v>371</v>
      </c>
      <c r="G22" s="65" t="n">
        <v>33.8</v>
      </c>
      <c r="H22" s="65" t="n">
        <f aca="false">ROUND(1.2*G22,1)</f>
        <v>40.6</v>
      </c>
      <c r="I22" s="66" t="n">
        <v>63</v>
      </c>
      <c r="J22" s="66" t="s">
        <v>392</v>
      </c>
      <c r="K22" s="66" t="s">
        <v>393</v>
      </c>
      <c r="L22" s="67" t="n">
        <v>1.5</v>
      </c>
      <c r="M22" s="65" t="n">
        <v>3</v>
      </c>
      <c r="N22" s="68" t="s">
        <v>394</v>
      </c>
      <c r="O22" s="69" t="s">
        <v>395</v>
      </c>
      <c r="P22" s="68" t="s">
        <v>396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7" min="4" style="0" width="9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3" min="13" style="0" width="36"/>
    <col collapsed="false" customWidth="true" hidden="false" outlineLevel="0" max="14" min="14" style="0" width="60"/>
  </cols>
  <sheetData>
    <row r="1" customFormat="false" ht="24" hidden="false" customHeight="true" outlineLevel="0" collapsed="false">
      <c r="A1" s="29" t="s">
        <v>397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customFormat="false" ht="150" hidden="false" customHeight="true" outlineLevel="0" collapsed="false">
      <c r="A2" s="70" t="s">
        <v>398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customFormat="false" ht="39.75" hidden="false" customHeight="true" outlineLevel="0" collapsed="false">
      <c r="A3" s="47" t="s">
        <v>399</v>
      </c>
      <c r="B3" s="47" t="s">
        <v>400</v>
      </c>
      <c r="C3" s="47" t="s">
        <v>401</v>
      </c>
      <c r="D3" s="47" t="s">
        <v>402</v>
      </c>
      <c r="E3" s="47" t="s">
        <v>403</v>
      </c>
      <c r="F3" s="47" t="s">
        <v>404</v>
      </c>
      <c r="G3" s="47" t="s">
        <v>405</v>
      </c>
      <c r="H3" s="47" t="s">
        <v>325</v>
      </c>
      <c r="I3" s="47" t="s">
        <v>406</v>
      </c>
      <c r="J3" s="47" t="s">
        <v>407</v>
      </c>
      <c r="K3" s="47" t="s">
        <v>408</v>
      </c>
      <c r="L3" s="47" t="s">
        <v>409</v>
      </c>
      <c r="M3" s="47" t="s">
        <v>410</v>
      </c>
      <c r="N3" s="47" t="s">
        <v>411</v>
      </c>
    </row>
    <row r="4" customFormat="false" ht="15" hidden="false" customHeight="false" outlineLevel="0" collapsed="false">
      <c r="A4" s="71" t="s">
        <v>10</v>
      </c>
      <c r="B4" s="71" t="s">
        <v>11</v>
      </c>
      <c r="C4" s="72" t="s">
        <v>329</v>
      </c>
      <c r="D4" s="72" t="n">
        <v>30</v>
      </c>
      <c r="E4" s="72" t="n">
        <v>33</v>
      </c>
      <c r="F4" s="72" t="n">
        <v>20</v>
      </c>
      <c r="G4" s="72" t="n">
        <v>24</v>
      </c>
      <c r="H4" s="73" t="n">
        <v>3</v>
      </c>
      <c r="I4" s="72" t="n">
        <v>39.4</v>
      </c>
      <c r="J4" s="72" t="n">
        <v>0.16</v>
      </c>
      <c r="K4" s="72" t="n">
        <v>0.25</v>
      </c>
      <c r="L4" s="50" t="n">
        <v>1.56</v>
      </c>
      <c r="M4" s="74" t="s">
        <v>331</v>
      </c>
      <c r="N4" s="74" t="s">
        <v>412</v>
      </c>
    </row>
    <row r="5" customFormat="false" ht="15" hidden="false" customHeight="false" outlineLevel="0" collapsed="false">
      <c r="A5" s="71" t="s">
        <v>17</v>
      </c>
      <c r="B5" s="71" t="s">
        <v>18</v>
      </c>
      <c r="C5" s="72" t="s">
        <v>329</v>
      </c>
      <c r="D5" s="72" t="n">
        <v>23.5</v>
      </c>
      <c r="E5" s="72" t="n">
        <v>25.9</v>
      </c>
      <c r="F5" s="72" t="n">
        <v>20</v>
      </c>
      <c r="G5" s="72" t="n">
        <v>24</v>
      </c>
      <c r="H5" s="73" t="n">
        <v>3</v>
      </c>
      <c r="I5" s="72" t="n">
        <v>36.3</v>
      </c>
      <c r="J5" s="72" t="n">
        <v>0.154</v>
      </c>
      <c r="K5" s="72" t="s">
        <v>333</v>
      </c>
      <c r="L5" s="50" t="n">
        <v>1.49</v>
      </c>
      <c r="M5" s="74" t="s">
        <v>335</v>
      </c>
      <c r="N5" s="74" t="s">
        <v>413</v>
      </c>
    </row>
    <row r="6" customFormat="false" ht="15" hidden="false" customHeight="false" outlineLevel="0" collapsed="false">
      <c r="A6" s="71" t="s">
        <v>23</v>
      </c>
      <c r="B6" s="71" t="s">
        <v>24</v>
      </c>
      <c r="C6" s="72" t="s">
        <v>329</v>
      </c>
      <c r="D6" s="72" t="n">
        <v>34</v>
      </c>
      <c r="E6" s="72" t="n">
        <v>37.4</v>
      </c>
      <c r="F6" s="72" t="n">
        <v>24.5</v>
      </c>
      <c r="G6" s="72" t="n">
        <v>29.4</v>
      </c>
      <c r="H6" s="73" t="n">
        <v>3</v>
      </c>
      <c r="I6" s="72" t="n">
        <v>45.1</v>
      </c>
      <c r="J6" s="72" t="n">
        <v>0.14</v>
      </c>
      <c r="K6" s="72" t="s">
        <v>337</v>
      </c>
      <c r="L6" s="50" t="n">
        <v>1.5</v>
      </c>
      <c r="M6" s="74" t="s">
        <v>339</v>
      </c>
      <c r="N6" s="74" t="s">
        <v>414</v>
      </c>
    </row>
    <row r="7" customFormat="false" ht="23.85" hidden="false" customHeight="false" outlineLevel="0" collapsed="false">
      <c r="A7" s="71" t="s">
        <v>29</v>
      </c>
      <c r="B7" s="71" t="s">
        <v>30</v>
      </c>
      <c r="C7" s="72" t="s">
        <v>329</v>
      </c>
      <c r="D7" s="72" t="n">
        <v>28</v>
      </c>
      <c r="E7" s="72" t="n">
        <v>30.8</v>
      </c>
      <c r="F7" s="72" t="n">
        <v>18</v>
      </c>
      <c r="G7" s="72" t="n">
        <v>21.6</v>
      </c>
      <c r="H7" s="73" t="n">
        <v>3</v>
      </c>
      <c r="I7" s="72" t="n">
        <v>31.7</v>
      </c>
      <c r="J7" s="72" t="n">
        <v>0.21</v>
      </c>
      <c r="K7" s="72" t="n">
        <v>0.3</v>
      </c>
      <c r="L7" s="50" t="n">
        <v>1.43</v>
      </c>
      <c r="M7" s="74" t="s">
        <v>342</v>
      </c>
      <c r="N7" s="74" t="s">
        <v>415</v>
      </c>
    </row>
    <row r="8" customFormat="false" ht="23.85" hidden="false" customHeight="false" outlineLevel="0" collapsed="false">
      <c r="A8" s="71" t="s">
        <v>35</v>
      </c>
      <c r="B8" s="71" t="s">
        <v>36</v>
      </c>
      <c r="C8" s="72" t="s">
        <v>329</v>
      </c>
      <c r="D8" s="72" t="n">
        <v>33</v>
      </c>
      <c r="E8" s="72" t="n">
        <v>36.3</v>
      </c>
      <c r="F8" s="72" t="n">
        <v>30.1</v>
      </c>
      <c r="G8" s="72" t="n">
        <v>36.1</v>
      </c>
      <c r="H8" s="73" t="n">
        <v>3</v>
      </c>
      <c r="I8" s="72" t="n">
        <v>52.3</v>
      </c>
      <c r="J8" s="72" t="n">
        <v>0.15</v>
      </c>
      <c r="K8" s="72" t="s">
        <v>337</v>
      </c>
      <c r="L8" s="50" t="n">
        <v>1.4</v>
      </c>
      <c r="M8" s="74" t="s">
        <v>345</v>
      </c>
      <c r="N8" s="74" t="s">
        <v>416</v>
      </c>
    </row>
    <row r="9" customFormat="false" ht="15" hidden="false" customHeight="false" outlineLevel="0" collapsed="false">
      <c r="A9" s="71" t="s">
        <v>41</v>
      </c>
      <c r="B9" s="71" t="s">
        <v>42</v>
      </c>
      <c r="C9" s="72" t="s">
        <v>329</v>
      </c>
      <c r="D9" s="72" t="n">
        <v>27</v>
      </c>
      <c r="E9" s="72" t="n">
        <v>29.7</v>
      </c>
      <c r="F9" s="72" t="n">
        <v>20.7</v>
      </c>
      <c r="G9" s="72" t="n">
        <v>24.8</v>
      </c>
      <c r="H9" s="73" t="n">
        <v>3</v>
      </c>
      <c r="I9" s="72" t="n">
        <v>35.3</v>
      </c>
      <c r="J9" s="72" t="n">
        <v>0.264</v>
      </c>
      <c r="K9" s="72" t="n">
        <v>0.356</v>
      </c>
      <c r="L9" s="50" t="n">
        <v>1.35</v>
      </c>
      <c r="M9" s="74" t="s">
        <v>348</v>
      </c>
      <c r="N9" s="74" t="s">
        <v>417</v>
      </c>
    </row>
    <row r="10" customFormat="false" ht="15" hidden="false" customHeight="false" outlineLevel="0" collapsed="false">
      <c r="A10" s="75" t="s">
        <v>47</v>
      </c>
      <c r="B10" s="75" t="s">
        <v>48</v>
      </c>
      <c r="C10" s="76" t="s">
        <v>350</v>
      </c>
      <c r="D10" s="76" t="n">
        <v>17.5</v>
      </c>
      <c r="E10" s="76" t="n">
        <v>19.3</v>
      </c>
      <c r="F10" s="76" t="n">
        <v>14.6</v>
      </c>
      <c r="G10" s="76" t="n">
        <v>17.5</v>
      </c>
      <c r="H10" s="77" t="n">
        <v>3</v>
      </c>
      <c r="I10" s="76" t="n">
        <v>41.8</v>
      </c>
      <c r="J10" s="76" t="n">
        <v>0.205</v>
      </c>
      <c r="K10" s="76" t="n">
        <v>0.3</v>
      </c>
      <c r="L10" s="55" t="n">
        <v>1.46</v>
      </c>
      <c r="M10" s="78" t="s">
        <v>352</v>
      </c>
      <c r="N10" s="78" t="s">
        <v>418</v>
      </c>
    </row>
    <row r="11" customFormat="false" ht="15" hidden="false" customHeight="false" outlineLevel="0" collapsed="false">
      <c r="A11" s="75" t="s">
        <v>54</v>
      </c>
      <c r="B11" s="75" t="s">
        <v>55</v>
      </c>
      <c r="C11" s="76" t="s">
        <v>350</v>
      </c>
      <c r="D11" s="76" t="n">
        <v>28</v>
      </c>
      <c r="E11" s="76" t="n">
        <v>30.8</v>
      </c>
      <c r="F11" s="76" t="n">
        <v>22.6</v>
      </c>
      <c r="G11" s="76" t="n">
        <v>27.1</v>
      </c>
      <c r="H11" s="77" t="n">
        <v>3</v>
      </c>
      <c r="I11" s="76" t="n">
        <v>51.5</v>
      </c>
      <c r="J11" s="76" t="n">
        <v>0.18</v>
      </c>
      <c r="K11" s="76" t="s">
        <v>354</v>
      </c>
      <c r="L11" s="55" t="n">
        <v>1.5</v>
      </c>
      <c r="M11" s="78" t="s">
        <v>356</v>
      </c>
      <c r="N11" s="78" t="s">
        <v>419</v>
      </c>
    </row>
    <row r="12" customFormat="false" ht="15" hidden="false" customHeight="false" outlineLevel="0" collapsed="false">
      <c r="A12" s="75" t="s">
        <v>60</v>
      </c>
      <c r="B12" s="75" t="s">
        <v>61</v>
      </c>
      <c r="C12" s="76" t="s">
        <v>350</v>
      </c>
      <c r="D12" s="76" t="n">
        <v>45</v>
      </c>
      <c r="E12" s="76" t="n">
        <v>49.5</v>
      </c>
      <c r="F12" s="76" t="n">
        <v>38.7</v>
      </c>
      <c r="G12" s="76" t="n">
        <v>46.4</v>
      </c>
      <c r="H12" s="77" t="n">
        <v>3</v>
      </c>
      <c r="I12" s="76" t="n">
        <v>80.3</v>
      </c>
      <c r="J12" s="76" t="n">
        <v>0.081</v>
      </c>
      <c r="K12" s="76" t="n">
        <v>0.164</v>
      </c>
      <c r="L12" s="55" t="n">
        <v>2.02</v>
      </c>
      <c r="M12" s="78" t="s">
        <v>359</v>
      </c>
      <c r="N12" s="78" t="s">
        <v>420</v>
      </c>
    </row>
    <row r="13" customFormat="false" ht="23.85" hidden="false" customHeight="false" outlineLevel="0" collapsed="false">
      <c r="A13" s="75" t="s">
        <v>66</v>
      </c>
      <c r="B13" s="75" t="s">
        <v>67</v>
      </c>
      <c r="C13" s="76" t="s">
        <v>350</v>
      </c>
      <c r="D13" s="76" t="n">
        <v>25</v>
      </c>
      <c r="E13" s="76" t="n">
        <v>27.5</v>
      </c>
      <c r="F13" s="76" t="n">
        <v>18.4</v>
      </c>
      <c r="G13" s="76" t="n">
        <v>22.1</v>
      </c>
      <c r="H13" s="77" t="n">
        <v>3</v>
      </c>
      <c r="I13" s="76" t="n">
        <v>33.2</v>
      </c>
      <c r="J13" s="76" t="n">
        <v>0.21</v>
      </c>
      <c r="K13" s="76" t="n">
        <v>0.47</v>
      </c>
      <c r="L13" s="55" t="n">
        <v>2.24</v>
      </c>
      <c r="M13" s="78" t="s">
        <v>362</v>
      </c>
      <c r="N13" s="78" t="s">
        <v>421</v>
      </c>
    </row>
    <row r="14" customFormat="false" ht="15" hidden="false" customHeight="false" outlineLevel="0" collapsed="false">
      <c r="A14" s="75" t="s">
        <v>73</v>
      </c>
      <c r="B14" s="75" t="s">
        <v>74</v>
      </c>
      <c r="C14" s="76" t="s">
        <v>350</v>
      </c>
      <c r="D14" s="76" t="n">
        <v>37</v>
      </c>
      <c r="E14" s="76" t="n">
        <v>40.7</v>
      </c>
      <c r="F14" s="76" t="n">
        <v>34.7</v>
      </c>
      <c r="G14" s="76" t="n">
        <v>41.6</v>
      </c>
      <c r="H14" s="77" t="n">
        <v>3</v>
      </c>
      <c r="I14" s="76" t="n">
        <v>101.2</v>
      </c>
      <c r="J14" s="76" t="n">
        <v>0.149</v>
      </c>
      <c r="K14" s="76" t="n">
        <v>0.28</v>
      </c>
      <c r="L14" s="55" t="n">
        <v>1.88</v>
      </c>
      <c r="M14" s="78" t="s">
        <v>365</v>
      </c>
      <c r="N14" s="78" t="s">
        <v>422</v>
      </c>
    </row>
    <row r="15" customFormat="false" ht="23.85" hidden="false" customHeight="false" outlineLevel="0" collapsed="false">
      <c r="A15" s="75" t="s">
        <v>80</v>
      </c>
      <c r="B15" s="75" t="s">
        <v>81</v>
      </c>
      <c r="C15" s="76" t="s">
        <v>350</v>
      </c>
      <c r="D15" s="76" t="n">
        <v>30</v>
      </c>
      <c r="E15" s="76" t="n">
        <v>33</v>
      </c>
      <c r="F15" s="76" t="n">
        <v>27</v>
      </c>
      <c r="G15" s="76" t="n">
        <v>32.4</v>
      </c>
      <c r="H15" s="77" t="n">
        <v>3</v>
      </c>
      <c r="I15" s="76" t="n">
        <v>52.7</v>
      </c>
      <c r="J15" s="76" t="n">
        <v>0.52</v>
      </c>
      <c r="K15" s="76" t="n">
        <v>0.83</v>
      </c>
      <c r="L15" s="55" t="n">
        <v>1.6</v>
      </c>
      <c r="M15" s="78" t="s">
        <v>368</v>
      </c>
      <c r="N15" s="78" t="s">
        <v>423</v>
      </c>
    </row>
    <row r="16" customFormat="false" ht="23.85" hidden="false" customHeight="false" outlineLevel="0" collapsed="false">
      <c r="A16" s="79" t="s">
        <v>86</v>
      </c>
      <c r="B16" s="79" t="s">
        <v>87</v>
      </c>
      <c r="C16" s="80" t="s">
        <v>370</v>
      </c>
      <c r="D16" s="80"/>
      <c r="E16" s="80"/>
      <c r="F16" s="80" t="n">
        <v>18.3</v>
      </c>
      <c r="G16" s="80" t="n">
        <v>22</v>
      </c>
      <c r="H16" s="81" t="n">
        <v>3</v>
      </c>
      <c r="I16" s="80" t="n">
        <v>30.7</v>
      </c>
      <c r="J16" s="80" t="n">
        <v>0.2</v>
      </c>
      <c r="K16" s="80" t="n">
        <v>0.47</v>
      </c>
      <c r="L16" s="61" t="n">
        <v>2.35</v>
      </c>
      <c r="M16" s="82" t="s">
        <v>373</v>
      </c>
      <c r="N16" s="82" t="s">
        <v>424</v>
      </c>
    </row>
    <row r="17" customFormat="false" ht="23.85" hidden="false" customHeight="false" outlineLevel="0" collapsed="false">
      <c r="A17" s="79" t="s">
        <v>92</v>
      </c>
      <c r="B17" s="79" t="s">
        <v>93</v>
      </c>
      <c r="C17" s="80" t="s">
        <v>370</v>
      </c>
      <c r="D17" s="80"/>
      <c r="E17" s="80"/>
      <c r="F17" s="80" t="n">
        <v>10.5</v>
      </c>
      <c r="G17" s="80" t="n">
        <v>12.6</v>
      </c>
      <c r="H17" s="81" t="n">
        <v>3</v>
      </c>
      <c r="I17" s="80" t="n">
        <v>24.8</v>
      </c>
      <c r="J17" s="80" t="n">
        <v>0.268</v>
      </c>
      <c r="K17" s="80" t="s">
        <v>375</v>
      </c>
      <c r="L17" s="61" t="n">
        <v>1.46</v>
      </c>
      <c r="M17" s="82" t="s">
        <v>377</v>
      </c>
      <c r="N17" s="82" t="s">
        <v>425</v>
      </c>
    </row>
    <row r="18" customFormat="false" ht="15" hidden="false" customHeight="false" outlineLevel="0" collapsed="false">
      <c r="A18" s="79" t="s">
        <v>96</v>
      </c>
      <c r="B18" s="79" t="s">
        <v>97</v>
      </c>
      <c r="C18" s="80" t="s">
        <v>370</v>
      </c>
      <c r="D18" s="80"/>
      <c r="E18" s="80"/>
      <c r="F18" s="80" t="n">
        <v>28.5</v>
      </c>
      <c r="G18" s="80" t="n">
        <v>34.2</v>
      </c>
      <c r="H18" s="81" t="n">
        <v>3</v>
      </c>
      <c r="I18" s="80" t="n">
        <v>48.1</v>
      </c>
      <c r="J18" s="80" t="n">
        <v>0.27</v>
      </c>
      <c r="K18" s="80" t="n">
        <v>0.5</v>
      </c>
      <c r="L18" s="61" t="n">
        <v>1.85</v>
      </c>
      <c r="M18" s="82" t="s">
        <v>380</v>
      </c>
      <c r="N18" s="82" t="s">
        <v>426</v>
      </c>
    </row>
    <row r="19" customFormat="false" ht="35.05" hidden="false" customHeight="false" outlineLevel="0" collapsed="false">
      <c r="A19" s="79" t="s">
        <v>100</v>
      </c>
      <c r="B19" s="79" t="s">
        <v>101</v>
      </c>
      <c r="C19" s="80" t="s">
        <v>370</v>
      </c>
      <c r="D19" s="80"/>
      <c r="E19" s="80"/>
      <c r="F19" s="80" t="n">
        <v>27.3</v>
      </c>
      <c r="G19" s="80" t="n">
        <v>32.8</v>
      </c>
      <c r="H19" s="81" t="n">
        <v>3</v>
      </c>
      <c r="I19" s="80" t="n">
        <v>60.3</v>
      </c>
      <c r="J19" s="80" t="n">
        <v>0.149</v>
      </c>
      <c r="K19" s="80" t="n">
        <v>0.215</v>
      </c>
      <c r="L19" s="61" t="n">
        <v>1.44</v>
      </c>
      <c r="M19" s="82" t="s">
        <v>383</v>
      </c>
      <c r="N19" s="82" t="s">
        <v>427</v>
      </c>
    </row>
    <row r="20" customFormat="false" ht="23.85" hidden="false" customHeight="false" outlineLevel="0" collapsed="false">
      <c r="A20" s="83" t="s">
        <v>104</v>
      </c>
      <c r="B20" s="83" t="s">
        <v>105</v>
      </c>
      <c r="C20" s="84" t="s">
        <v>385</v>
      </c>
      <c r="D20" s="84"/>
      <c r="E20" s="84"/>
      <c r="F20" s="84" t="n">
        <v>13</v>
      </c>
      <c r="G20" s="84" t="n">
        <v>15.6</v>
      </c>
      <c r="H20" s="85" t="n">
        <v>3</v>
      </c>
      <c r="I20" s="84" t="n">
        <v>30</v>
      </c>
      <c r="J20" s="84" t="n">
        <v>0.117</v>
      </c>
      <c r="K20" s="84" t="n">
        <v>0.24</v>
      </c>
      <c r="L20" s="67" t="n">
        <v>2.05</v>
      </c>
      <c r="M20" s="86" t="s">
        <v>387</v>
      </c>
      <c r="N20" s="86" t="s">
        <v>428</v>
      </c>
    </row>
    <row r="21" customFormat="false" ht="15" hidden="false" customHeight="false" outlineLevel="0" collapsed="false">
      <c r="A21" s="83" t="s">
        <v>109</v>
      </c>
      <c r="B21" s="83" t="s">
        <v>110</v>
      </c>
      <c r="C21" s="84" t="s">
        <v>385</v>
      </c>
      <c r="D21" s="84"/>
      <c r="E21" s="84"/>
      <c r="F21" s="84" t="n">
        <v>17.5</v>
      </c>
      <c r="G21" s="84" t="n">
        <v>21</v>
      </c>
      <c r="H21" s="85" t="n">
        <v>3</v>
      </c>
      <c r="I21" s="84" t="n">
        <v>29.9</v>
      </c>
      <c r="J21" s="84" t="n">
        <v>0.27</v>
      </c>
      <c r="K21" s="84" t="n">
        <v>0.58</v>
      </c>
      <c r="L21" s="67" t="n">
        <v>2.15</v>
      </c>
      <c r="M21" s="86" t="s">
        <v>390</v>
      </c>
      <c r="N21" s="86" t="s">
        <v>429</v>
      </c>
    </row>
    <row r="22" customFormat="false" ht="23.85" hidden="false" customHeight="false" outlineLevel="0" collapsed="false">
      <c r="A22" s="83" t="s">
        <v>114</v>
      </c>
      <c r="B22" s="83" t="s">
        <v>115</v>
      </c>
      <c r="C22" s="84" t="s">
        <v>385</v>
      </c>
      <c r="D22" s="84"/>
      <c r="E22" s="84"/>
      <c r="F22" s="84" t="n">
        <v>33.8</v>
      </c>
      <c r="G22" s="84" t="n">
        <v>40.6</v>
      </c>
      <c r="H22" s="85" t="n">
        <v>3</v>
      </c>
      <c r="I22" s="84" t="n">
        <v>63</v>
      </c>
      <c r="J22" s="84" t="s">
        <v>392</v>
      </c>
      <c r="K22" s="84" t="s">
        <v>393</v>
      </c>
      <c r="L22" s="67" t="n">
        <v>1.5</v>
      </c>
      <c r="M22" s="86" t="s">
        <v>395</v>
      </c>
      <c r="N22" s="86" t="s">
        <v>430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2026-06-11T14:29:09Z</dcterms:created>
  <dc:creator>openpyxl</dc:creator>
  <dc:description/>
  <dc:language>en-US</dc:language>
  <cp:lastModifiedBy/>
  <dcterms:modified xsi:type="dcterms:W3CDTF">2026-06-19T10:51:31Z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